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lr\Downloads\"/>
    </mc:Choice>
  </mc:AlternateContent>
  <xr:revisionPtr revIDLastSave="0" documentId="13_ncr:1_{E2604BE2-6EFA-47E1-AE6F-2334ACEE227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How to Use" sheetId="1" r:id="rId1"/>
    <sheet name="Test Cases" sheetId="2" r:id="rId2"/>
    <sheet name="Summary" sheetId="3" r:id="rId3"/>
    <sheet name="Bug Report" sheetId="4" r:id="rId4"/>
  </sheets>
  <definedNames>
    <definedName name="_xlnm._FilterDatabase" localSheetId="1" hidden="1">'Test Cases'!$A$1:$M$64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3" l="1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19" i="3"/>
  <c r="B18" i="3"/>
  <c r="B17" i="3"/>
  <c r="B14" i="3"/>
  <c r="B13" i="3"/>
  <c r="B12" i="3"/>
  <c r="B11" i="3"/>
  <c r="B7" i="3"/>
  <c r="B6" i="3"/>
  <c r="B5" i="3"/>
  <c r="B4" i="3"/>
  <c r="B3" i="3"/>
  <c r="B8" i="3" l="1"/>
</calcChain>
</file>

<file path=xl/sharedStrings.xml><?xml version="1.0" encoding="utf-8"?>
<sst xmlns="http://schemas.openxmlformats.org/spreadsheetml/2006/main" count="970" uniqueCount="558">
  <si>
    <t>HOW TO USE THIS WORKBOOK</t>
  </si>
  <si>
    <t>1. These are generic test cases for a typical ASP.NET Core MVC + EF app (register, login, CRUD, search, security).</t>
  </si>
  <si>
    <t>2. Replace [Controller], [Entity] and field names with your app's real names. Delete test cases for features your app does not have.</t>
  </si>
  <si>
    <t>3. Fill in real Test Data (e.g., actual usernames and your field max lengths) before you run each test.</t>
  </si>
  <si>
    <t>4. Record each test in Selenium IDE using the name in column L, then run it.</t>
  </si>
  <si>
    <t>5. Write what really happened in 'Actual Result' (column J) and choose Pass / Fail / Blocked in 'Status' (column K).</t>
  </si>
  <si>
    <t>6. If a test fails because of a real app problem, log it in the 'Bug Report' sheet (a sample row is given in grey).</t>
  </si>
  <si>
    <t>7. The 'Summary' sheet updates automatically from the Status column.</t>
  </si>
  <si>
    <t>Test types: Positive = valid data works | Negative = invalid data is rejected | Boundary = limits (min/max) | Security = misuse attempts</t>
  </si>
  <si>
    <t>Priority: High = core feature, test first | Medium = important | Low = nice to verify</t>
  </si>
  <si>
    <t>Test Case ID</t>
  </si>
  <si>
    <t>Module</t>
  </si>
  <si>
    <t>Scenario</t>
  </si>
  <si>
    <t>Test Type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</si>
  <si>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</si>
  <si>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</si>
  <si>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</si>
  <si>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</si>
  <si>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</si>
  <si>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</si>
  <si>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</si>
  <si>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Selenium IDE Test Name</t>
  </si>
  <si>
    <t>Remarks</t>
  </si>
  <si>
    <t>TC01</t>
  </si>
  <si>
    <t>Registration</t>
  </si>
  <si>
    <t>Register with all valid details</t>
  </si>
  <si>
    <t>Positive</t>
  </si>
  <si>
    <t>High</t>
  </si>
  <si>
    <t>App running; user not registered</t>
  </si>
  <si>
    <t>1. Open Register page
2. Enter valid email, password, confirm password
3. Click Register</t>
  </si>
  <si>
    <t>Email: qauser1@mail.com
Password: Test@1234</t>
  </si>
  <si>
    <t>Account created; user redirected to Home/Login page</t>
  </si>
  <si>
    <t>Not Run</t>
  </si>
  <si>
    <t>TC02</t>
  </si>
  <si>
    <t>Register with an already registered email</t>
  </si>
  <si>
    <t>Negative</t>
  </si>
  <si>
    <t>qauser1@mail.com already exists</t>
  </si>
  <si>
    <t>1. Open Register page
2. Enter existing email and valid password
3. Click Register</t>
  </si>
  <si>
    <t>Error shown that the email/username is already taken; no duplicate account created</t>
  </si>
  <si>
    <t>TC03</t>
  </si>
  <si>
    <t>Register with empty fields</t>
  </si>
  <si>
    <t>Register page open</t>
  </si>
  <si>
    <t>1. Leave all fields blank
2. Click Register</t>
  </si>
  <si>
    <t>All fields blank</t>
  </si>
  <si>
    <t>'Required' validation message shown for each field; form not submitted</t>
  </si>
  <si>
    <t>TC04</t>
  </si>
  <si>
    <t>Register with invalid email format</t>
  </si>
  <si>
    <t>Medium</t>
  </si>
  <si>
    <t>1. Enter email without '@'
2. Enter valid password
3. Click Register</t>
  </si>
  <si>
    <t>Email: qauser.mail.com</t>
  </si>
  <si>
    <t>Invalid email format error shown; account not created</t>
  </si>
  <si>
    <t>TC05</t>
  </si>
  <si>
    <t>Password and Confirm Password do not match</t>
  </si>
  <si>
    <t>1. Enter valid email
2. Enter different password and confirm password
3. Click Register</t>
  </si>
  <si>
    <t>Password: Test@1234
Confirm: Test@9999</t>
  </si>
  <si>
    <t>'Passwords do not match' error shown</t>
  </si>
  <si>
    <t>TC06</t>
  </si>
  <si>
    <t>Password shorter than minimum length</t>
  </si>
  <si>
    <t>Boundary</t>
  </si>
  <si>
    <t>1. Enter valid email
2. Enter a very short password
3. Click Register</t>
  </si>
  <si>
    <t>Password: Ab@1</t>
  </si>
  <si>
    <t>Password policy error shown; account not created</t>
  </si>
  <si>
    <t>TC07</t>
  </si>
  <si>
    <t>Login</t>
  </si>
  <si>
    <t>Login with valid credentials</t>
  </si>
  <si>
    <t>User account exists</t>
  </si>
  <si>
    <t>1. Open Login page
2. Enter valid username and password
3. Click Login</t>
  </si>
  <si>
    <t>Valid registered user</t>
  </si>
  <si>
    <t>User logged in; Home/Dashboard page shown with user name or Logout link</t>
  </si>
  <si>
    <t>TC08</t>
  </si>
  <si>
    <t>Login with wrong password</t>
  </si>
  <si>
    <t>1. Open Login page
2. Enter valid username and wrong password
3. Click Login</t>
  </si>
  <si>
    <t>Username: valid
Password: Wrong@123</t>
  </si>
  <si>
    <t>'Invalid login attempt' error shown; user stays on Login page</t>
  </si>
  <si>
    <t>TC09</t>
  </si>
  <si>
    <t>Login with unregistered username</t>
  </si>
  <si>
    <t>Login page open</t>
  </si>
  <si>
    <t>1. Enter a username that does not exist
2. Enter any password
3. Click Login</t>
  </si>
  <si>
    <t>Username: nouser@mail.com
Password: Test@1234</t>
  </si>
  <si>
    <t>'Invalid login attempt' error shown; no account details revealed</t>
  </si>
  <si>
    <t>TC10</t>
  </si>
  <si>
    <t>Login with both fields empty</t>
  </si>
  <si>
    <t>1. Leave username and password blank
2. Click Login</t>
  </si>
  <si>
    <t>Blank</t>
  </si>
  <si>
    <t>'Required' validation messages shown for both fields</t>
  </si>
  <si>
    <t>TC11</t>
  </si>
  <si>
    <t>Login with only username filled</t>
  </si>
  <si>
    <t>1. Enter username only
2. Leave password blank
3. Click Login</t>
  </si>
  <si>
    <t>Username: valid
Password: blank</t>
  </si>
  <si>
    <t>Password 'Required' message shown; login blocked</t>
  </si>
  <si>
    <t>TC12</t>
  </si>
  <si>
    <t>Login with only password filled</t>
  </si>
  <si>
    <t>1. Leave username blank
2. Enter password
3. Click Login</t>
  </si>
  <si>
    <t>Username: blank
Password: Test@1234</t>
  </si>
  <si>
    <t>Username 'Required' message shown; login blocked</t>
  </si>
  <si>
    <t>TC13</t>
  </si>
  <si>
    <t>Password field masks characters</t>
  </si>
  <si>
    <t>Low</t>
  </si>
  <si>
    <t>1. Type text in the password field</t>
  </si>
  <si>
    <t>Any text</t>
  </si>
  <si>
    <t>Characters appear as dots/asterisks, not plain text</t>
  </si>
  <si>
    <t>TC14</t>
  </si>
  <si>
    <t>Login is case sensitive for password</t>
  </si>
  <si>
    <t>1. Enter valid username
2. Enter password with changed letter case
3. Click Login</t>
  </si>
  <si>
    <t>Password: test@1234 (original Test@1234)</t>
  </si>
  <si>
    <t>Login fails with an invalid login message</t>
  </si>
  <si>
    <t>TC15</t>
  </si>
  <si>
    <t>Login with SQL injection text</t>
  </si>
  <si>
    <t>Security</t>
  </si>
  <si>
    <t>1. Enter SQL text in username
2. Enter any password
3. Click Login</t>
  </si>
  <si>
    <t>Username: ' OR '1'='1
Password: x</t>
  </si>
  <si>
    <t>Login rejected; no error stack trace or database details shown</t>
  </si>
  <si>
    <t>TC16</t>
  </si>
  <si>
    <t>Logout</t>
  </si>
  <si>
    <t>Logout from the application</t>
  </si>
  <si>
    <t>User logged in</t>
  </si>
  <si>
    <t>1. Click Logout</t>
  </si>
  <si>
    <t>Logged-in user</t>
  </si>
  <si>
    <t>User logged out and redirected to Home/Login page; Login link visible</t>
  </si>
  <si>
    <t>TC17</t>
  </si>
  <si>
    <t>Back button after logout</t>
  </si>
  <si>
    <t>User just logged out</t>
  </si>
  <si>
    <t>1. Click browser Back button</t>
  </si>
  <si>
    <t>None</t>
  </si>
  <si>
    <t>Protected page not shown; user asked to log in again</t>
  </si>
  <si>
    <t>TC18</t>
  </si>
  <si>
    <t>Authorization</t>
  </si>
  <si>
    <t>Access protected page without login</t>
  </si>
  <si>
    <t>User not logged in</t>
  </si>
  <si>
    <t>1. Paste URL of a protected page (e.g., /Product/Create) in the address bar
2. Press Enter</t>
  </si>
  <si>
    <t>Direct URL</t>
  </si>
  <si>
    <t>User redirected to Login page; page content not shown</t>
  </si>
  <si>
    <t>TC18_Access_protected_page_without_login</t>
  </si>
  <si>
    <t>Navigation</t>
  </si>
  <si>
    <t>App running</t>
  </si>
  <si>
    <t>TC20</t>
  </si>
  <si>
    <t>TC21</t>
  </si>
  <si>
    <t>Base URL + /abcxyz</t>
  </si>
  <si>
    <t>TC22</t>
  </si>
  <si>
    <t>Logo / app name returns to Home</t>
  </si>
  <si>
    <t>1. Click the logo or app name</t>
  </si>
  <si>
    <t>TC23</t>
  </si>
  <si>
    <t>Footer / Privacy link works</t>
  </si>
  <si>
    <t>TC24</t>
  </si>
  <si>
    <t>Create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</si>
  <si>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</si>
  <si>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</si>
  <si>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</si>
  <si>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</si>
  <si>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</si>
  <si>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</si>
  <si>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</si>
  <si>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</si>
  <si>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</si>
  <si>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</si>
  <si>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</si>
  <si>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</si>
  <si>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</si>
  <si>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</si>
  <si>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List / Read</t>
  </si>
  <si>
    <t>TC39</t>
  </si>
  <si>
    <t>TC40</t>
  </si>
  <si>
    <t>TC41</t>
  </si>
  <si>
    <t>TC42</t>
  </si>
  <si>
    <t>Search / Filter</t>
  </si>
  <si>
    <t>TC43</t>
  </si>
  <si>
    <t>TC44</t>
  </si>
  <si>
    <t>TC45</t>
  </si>
  <si>
    <t>TC46</t>
  </si>
  <si>
    <t>Edit</t>
  </si>
  <si>
    <t>TC47</t>
  </si>
  <si>
    <t>TC48</t>
  </si>
  <si>
    <t>TC49</t>
  </si>
  <si>
    <t>TC50</t>
  </si>
  <si>
    <t>TC51</t>
  </si>
  <si>
    <t>TC52</t>
  </si>
  <si>
    <t>Delete</t>
  </si>
  <si>
    <t>TC53</t>
  </si>
  <si>
    <t>TC54</t>
  </si>
  <si>
    <t>TC55</t>
  </si>
  <si>
    <t>End-to-End</t>
  </si>
  <si>
    <t>TC56</t>
  </si>
  <si>
    <t>TC57</t>
  </si>
  <si>
    <t>TC58</t>
  </si>
  <si>
    <t>UI / Usability</t>
  </si>
  <si>
    <t>TC59</t>
  </si>
  <si>
    <t>TC60</t>
  </si>
  <si>
    <t>TC61</t>
  </si>
  <si>
    <t>TC62</t>
  </si>
  <si>
    <t>Compatibility</t>
  </si>
  <si>
    <t>TC63</t>
  </si>
  <si>
    <t>Performance</t>
  </si>
  <si>
    <t>TC64</t>
  </si>
  <si>
    <t>Session</t>
  </si>
  <si>
    <t>Test Execution Summary</t>
  </si>
  <si>
    <t>Total Test Cases</t>
  </si>
  <si>
    <t>Passed</t>
  </si>
  <si>
    <t>Failed</t>
  </si>
  <si>
    <t>Blocked</t>
  </si>
  <si>
    <t>Pass % (of executed)</t>
  </si>
  <si>
    <t>By Test Type</t>
  </si>
  <si>
    <t>By Priority</t>
  </si>
  <si>
    <t>By Module</t>
  </si>
  <si>
    <t>Bug ID</t>
  </si>
  <si>
    <t>Linked Test Case</t>
  </si>
  <si>
    <t>Title</t>
  </si>
  <si>
    <t>Steps to Reproduce</t>
  </si>
  <si>
    <t>Severity</t>
  </si>
  <si>
    <t>Screenshot File Name</t>
  </si>
  <si>
    <t>BUG-01 (example)</t>
  </si>
  <si>
    <t>Record not saved when all fields are valid</t>
  </si>
  <si>
    <t>1. Login
2. Click Create New
3. Fill valid data
4. Click Create</t>
  </si>
  <si>
    <t>Record saved and shown in list</t>
  </si>
  <si>
    <t>Error page shown</t>
  </si>
  <si>
    <t>Open</t>
  </si>
  <si>
    <t>bug01.png</t>
  </si>
  <si>
    <t>Pass</t>
  </si>
  <si>
    <t>user created successfully</t>
  </si>
  <si>
    <t xml:space="preserve">username is already taken </t>
  </si>
  <si>
    <t xml:space="preserve">the required field were indicated </t>
  </si>
  <si>
    <t>while entering itself it is notified as error</t>
  </si>
  <si>
    <t xml:space="preserve">it was notified even while entering </t>
  </si>
  <si>
    <t>passwd must haves: 1&lt; digits, 1&lt;uppercase</t>
  </si>
  <si>
    <t xml:space="preserve">logged in and directed to home page </t>
  </si>
  <si>
    <t>shown invalid login attempt</t>
  </si>
  <si>
    <t>username doesn’t exists</t>
  </si>
  <si>
    <t>doesn’t allow to click the login button without details and messages shown</t>
  </si>
  <si>
    <t>validation message shown</t>
  </si>
  <si>
    <t>dots</t>
  </si>
  <si>
    <t>not a valid email</t>
  </si>
  <si>
    <t>directed to homepage with logout button</t>
  </si>
  <si>
    <t>asked to login again</t>
  </si>
  <si>
    <t>T1-Registration</t>
  </si>
  <si>
    <t>T2-Login</t>
  </si>
  <si>
    <t>user directed to login page</t>
  </si>
  <si>
    <t>Navigation Testing</t>
  </si>
  <si>
    <t>Admin home page loads after login</t>
  </si>
  <si>
    <t>Logged in as Admin</t>
  </si>
  <si>
    <t>1. Log in with admin credentials
2. Observe the page that opens</t>
  </si>
  <si>
    <t>Admin credentials</t>
  </si>
  <si>
    <t>Home page opens; admin menu items are visible; no errors</t>
  </si>
  <si>
    <t>TC20_Admin_home_page_loads_after_login</t>
  </si>
  <si>
    <t>Admin navbar shows all admin menu options</t>
  </si>
  <si>
    <t>1. Look at the top navigation bar</t>
  </si>
  <si>
    <t>Category, Order, Cart (and other admin links) are visible to admin</t>
  </si>
  <si>
    <t>TC21_Admin_navbar_shows_all_admin_menu_o</t>
  </si>
  <si>
    <t>Category menu opens Category List</t>
  </si>
  <si>
    <t>1. Click Category in the navbar</t>
  </si>
  <si>
    <t>Category List page opens with heading 'Category List'</t>
  </si>
  <si>
    <t>TC22_Category_menu_opens_Category_List</t>
  </si>
  <si>
    <t>Order menu opens Order list</t>
  </si>
  <si>
    <t>1. Click Order / Manage Order in the navbar</t>
  </si>
  <si>
    <t>Order list page opens; no error</t>
  </si>
  <si>
    <t>TC23_Order_menu_opens_Order_list</t>
  </si>
  <si>
    <t>Cart menu opens Cart page</t>
  </si>
  <si>
    <t>1. Click Cart in the navbar</t>
  </si>
  <si>
    <t>Cart page opens; no error</t>
  </si>
  <si>
    <t>TC24_Cart_menu_opens_Cart_page</t>
  </si>
  <si>
    <t>Create New Category button opens Create page</t>
  </si>
  <si>
    <t>Logged in as Admin; on Category List</t>
  </si>
  <si>
    <t>1. Click 'Create New Category'</t>
  </si>
  <si>
    <t>Create Category form opens</t>
  </si>
  <si>
    <t>TC25_Create_New_Category_button_opens_Cr</t>
  </si>
  <si>
    <t>Edit button opens Edit page of the same category</t>
  </si>
  <si>
    <t>Logged in as Admin; categories exist</t>
  </si>
  <si>
    <t>1. Click Edit beside a category</t>
  </si>
  <si>
    <t>One category</t>
  </si>
  <si>
    <t>Edit page opens showing that category's data</t>
  </si>
  <si>
    <t>TC26_Edit_button_opens_Edit_page_of_the</t>
  </si>
  <si>
    <t>Delete button opens Delete page of the same category</t>
  </si>
  <si>
    <t>1. Click Delete beside a category</t>
  </si>
  <si>
    <t>Delete confirmation page opens for that category</t>
  </si>
  <si>
    <t>TC27_Delete_button_opens_Delete_page_of</t>
  </si>
  <si>
    <t>Back to List link returns to Category List</t>
  </si>
  <si>
    <t>Logged in as Admin; on Create/Edit page</t>
  </si>
  <si>
    <t>1. Click 'Back to List'</t>
  </si>
  <si>
    <t>Category List opens; no changes saved</t>
  </si>
  <si>
    <t>TC28_Back_to_List_link_returns_to_Catego</t>
  </si>
  <si>
    <t>Browser Back and Forward buttons work</t>
  </si>
  <si>
    <t>1. Open Category List, then Create page
2. Click browser Back
3. Click browser Forward</t>
  </si>
  <si>
    <t>Correct pages open each time; no error page</t>
  </si>
  <si>
    <t>TC29_Browser_Back_and_Forward_buttons_wo</t>
  </si>
  <si>
    <t>Logged in as Admin; on an inner page</t>
  </si>
  <si>
    <t>Home page opens</t>
  </si>
  <si>
    <t>TC30_Logo___app_name_returns_to_Home</t>
  </si>
  <si>
    <t>Direct URL of an admin page works while logged in</t>
  </si>
  <si>
    <t>1. Type the Category List URL in the address bar
2. Press Enter</t>
  </si>
  <si>
    <t>Base URL + /Category</t>
  </si>
  <si>
    <t>Category List opens without asking to log in again</t>
  </si>
  <si>
    <t>TC31_Direct_URL_of_an_admin_page_works_w</t>
  </si>
  <si>
    <t>Invalid URL shows a proper error page</t>
  </si>
  <si>
    <t>1. Type a URL that does not exist
2. Press Enter</t>
  </si>
  <si>
    <t>User-friendly 404/error page; no stack trace shown</t>
  </si>
  <si>
    <t>TC32_Invalid_URL_shows_a_proper_error_pa</t>
  </si>
  <si>
    <t>1. Click Privacy in the footer</t>
  </si>
  <si>
    <t>Privacy page opens</t>
  </si>
  <si>
    <t>TC33_Footer___Privacy_link_works</t>
  </si>
  <si>
    <t>Category Testing</t>
  </si>
  <si>
    <t>Category List shows all categories</t>
  </si>
  <si>
    <t>1. Open Category List</t>
  </si>
  <si>
    <t>All saved categories shown with Name and Display Order</t>
  </si>
  <si>
    <t>TC34_Category_List_shows_all_categories</t>
  </si>
  <si>
    <t>Categories are sorted by Display Order</t>
  </si>
  <si>
    <t>Functional</t>
  </si>
  <si>
    <t>Logged in as Admin; several categories exist</t>
  </si>
  <si>
    <t>1. Open Category List
2. Read the Display Order column from top to bottom</t>
  </si>
  <si>
    <t>Categories with different display orders</t>
  </si>
  <si>
    <t>Rows appear in ascending Display Order</t>
  </si>
  <si>
    <t>TC35_Categories_are_sorted_by_Display_Or</t>
  </si>
  <si>
    <t>Category List when no categories exist</t>
  </si>
  <si>
    <t>Logged in as Admin; no categories in database</t>
  </si>
  <si>
    <t>Empty table</t>
  </si>
  <si>
    <t>Empty table with headers; no error</t>
  </si>
  <si>
    <t>TC36_Category_List_when_no_categories_ex</t>
  </si>
  <si>
    <t>Create category with valid Name and Display Order</t>
  </si>
  <si>
    <t>1. Click Create New Category
2. Enter valid Name and Display Order
3. Click Create</t>
  </si>
  <si>
    <t>Name: QA_Cat_01
Display Order: 77</t>
  </si>
  <si>
    <t>Category saved; redirected to list; QA_Cat_01 visible; success message shown if implemented</t>
  </si>
  <si>
    <t>TC37_Create_category_with_valid_Name_and</t>
  </si>
  <si>
    <t>Create with both fields empty</t>
  </si>
  <si>
    <t>1. Open Create page
2. Leave both fields blank
3. Click Create</t>
  </si>
  <si>
    <t>Required validation messages shown; nothing saved</t>
  </si>
  <si>
    <t>TC38_Create_with_both_fields_empty</t>
  </si>
  <si>
    <t>Create with Name empty</t>
  </si>
  <si>
    <t>1. Leave Name blank
2. Enter valid Display Order
3. Click Create</t>
  </si>
  <si>
    <t>Name: blank
Display Order: 5</t>
  </si>
  <si>
    <t>Name 'required' message shown; nothing saved</t>
  </si>
  <si>
    <t>TC39_Create_with_Name_empty</t>
  </si>
  <si>
    <t>Create with Display Order empty</t>
  </si>
  <si>
    <t>1. Enter valid Name
2. Leave Display Order blank
3. Click Create</t>
  </si>
  <si>
    <t>Name: QA_Cat_02
Display Order: blank</t>
  </si>
  <si>
    <t>Display Order 'required' message shown; nothing saved</t>
  </si>
  <si>
    <t>TC40_Create_with_Display_Order_empty</t>
  </si>
  <si>
    <t>Name longer than the maximum length</t>
  </si>
  <si>
    <t>1. Enter a Name longer than the allowed limit
2. Enter valid Display Order
3. Click Create</t>
  </si>
  <si>
    <t>Name: maximum + 1 characters</t>
  </si>
  <si>
    <t>Length validation error shown; nothing saved</t>
  </si>
  <si>
    <t>TC41_Name_longer_than_the_maximum_length</t>
  </si>
  <si>
    <t>Check your model for the real limit (for example [MaxLength(30)])</t>
  </si>
  <si>
    <t>Name exactly at the maximum length</t>
  </si>
  <si>
    <t>1. Enter a Name of exactly the maximum length
2. Click Create</t>
  </si>
  <si>
    <t>Name: maximum characters</t>
  </si>
  <si>
    <t>Category saved successfully</t>
  </si>
  <si>
    <t>TC42_Name_exactly_at_the_maximum_length</t>
  </si>
  <si>
    <t>Check your model for the real limit</t>
  </si>
  <si>
    <t>Display Order with letters</t>
  </si>
  <si>
    <t>1. Enter a valid Name
2. Type letters in Display Order
3. Click Create</t>
  </si>
  <si>
    <t>Display Order: abc</t>
  </si>
  <si>
    <t>Validation error shown; nothing saved</t>
  </si>
  <si>
    <t>TC43_Display_Order_with_letters</t>
  </si>
  <si>
    <t>Display Order below the minimum</t>
  </si>
  <si>
    <t>1. Enter valid Name
2. Enter 0 in Display Order
3. Click Create</t>
  </si>
  <si>
    <t>Display Order: 0</t>
  </si>
  <si>
    <t>Range error shown; nothing saved</t>
  </si>
  <si>
    <t>TC44_Display_Order_below_the_minimum</t>
  </si>
  <si>
    <t>Use the real range from your model, for example [Range(1,100)]</t>
  </si>
  <si>
    <t>Display Order above the maximum</t>
  </si>
  <si>
    <t>1. Enter valid Name
2. Enter a value above the maximum
3. Click Create</t>
  </si>
  <si>
    <t>Display Order: 101</t>
  </si>
  <si>
    <t>TC45_Display_Order_above_the_maximum</t>
  </si>
  <si>
    <t>Use the real range from your model</t>
  </si>
  <si>
    <t>Display Order at the minimum and maximum limits</t>
  </si>
  <si>
    <t>1. Create a category with the lowest allowed Display Order
2. Create another with the highest allowed</t>
  </si>
  <si>
    <t>Display Order: 1 and 100</t>
  </si>
  <si>
    <t>Both saved successfully</t>
  </si>
  <si>
    <t>TC46_Display_Order_at_the_minimum_and_ma</t>
  </si>
  <si>
    <t>Negative Display Order</t>
  </si>
  <si>
    <t>1. Enter valid Name
2. Enter -5 in Display Order
3. Click Create</t>
  </si>
  <si>
    <t>Display Order: -5</t>
  </si>
  <si>
    <t>TC47_Negative_Display_Order</t>
  </si>
  <si>
    <t>Duplicate category name</t>
  </si>
  <si>
    <t>Logged in as Admin; category 'Fiction' exists</t>
  </si>
  <si>
    <t>1. Enter an existing Name
2. Enter valid Display Order
3. Click Create</t>
  </si>
  <si>
    <t>Name: Fiction</t>
  </si>
  <si>
    <t>Behaves as per business rule: error shown, or duplicate allowed if no rule exists</t>
  </si>
  <si>
    <t>TC48_Duplicate_category_name</t>
  </si>
  <si>
    <t>Note the actual behaviour. If duplicates are allowed, raise it as a bug/observation</t>
  </si>
  <si>
    <t>Name with only spaces</t>
  </si>
  <si>
    <t>1. Type spaces only in Name
2. Enter valid Display Order
3. Click Create</t>
  </si>
  <si>
    <t>Name: '   '</t>
  </si>
  <si>
    <t>Treated as empty; required error shown</t>
  </si>
  <si>
    <t>TC49_Name_with_only_spaces</t>
  </si>
  <si>
    <t>Name with special characters</t>
  </si>
  <si>
    <t>1. Enter special characters in Name
2. Click Create</t>
  </si>
  <si>
    <t>Name: @#$%^&amp;*</t>
  </si>
  <si>
    <t>Saved or rejected as per rules; no crash; displays correctly in list</t>
  </si>
  <si>
    <t>TC50_Name_with_special_characters</t>
  </si>
  <si>
    <t>Cancel create using Back to List</t>
  </si>
  <si>
    <t>1. Fill the form partly
2. Click Back to List</t>
  </si>
  <si>
    <t>Partial data</t>
  </si>
  <si>
    <t>Returns to list; no new category saved</t>
  </si>
  <si>
    <t>TC51_Cancel_create_using_Back_to_List</t>
  </si>
  <si>
    <t>Edit page shows existing values</t>
  </si>
  <si>
    <t>Logged in as Admin; category exists</t>
  </si>
  <si>
    <t>1. Click Edit on a category</t>
  </si>
  <si>
    <t>Name and Display Order are pre-filled with current values</t>
  </si>
  <si>
    <t>TC52_Edit_page_shows_existing_values</t>
  </si>
  <si>
    <t>Edit with valid new values</t>
  </si>
  <si>
    <t>1. Click Edit
2. Change Name and Display Order
3. Click Update</t>
  </si>
  <si>
    <t>Name: QA_Cat_01_Edited
Display Order: 78</t>
  </si>
  <si>
    <t>Changes saved; new values visible in list</t>
  </si>
  <si>
    <t>TC53_Edit_with_valid_new_values</t>
  </si>
  <si>
    <t>Edit with Name cleared</t>
  </si>
  <si>
    <t>1. Click Edit
2. Clear Name
3. Click Update</t>
  </si>
  <si>
    <t>Name: blank</t>
  </si>
  <si>
    <t>Required error shown; old value unchanged in list</t>
  </si>
  <si>
    <t>TC54_Edit_with_Name_cleared</t>
  </si>
  <si>
    <t>Edit with invalid Display Order</t>
  </si>
  <si>
    <t>1. Click Edit
2. Enter letters or out-of-range number
3. Click Update</t>
  </si>
  <si>
    <t>Validation error shown; nothing updated</t>
  </si>
  <si>
    <t>TC55_Edit_with_invalid_Display_Order</t>
  </si>
  <si>
    <t>Changing Display Order changes list position</t>
  </si>
  <si>
    <t>1. Edit a category and give it the lowest Display Order
2. Open Category List</t>
  </si>
  <si>
    <t>Display Order: 1</t>
  </si>
  <si>
    <t>Category moves to the top of the list</t>
  </si>
  <si>
    <t>TC56_Changing_Display_Order_changes_list</t>
  </si>
  <si>
    <t>Delete page shows the correct category</t>
  </si>
  <si>
    <t>1. Click Delete on a category</t>
  </si>
  <si>
    <t>Confirmation page shows that category's Name and Display Order</t>
  </si>
  <si>
    <t>TC57_Delete_page_shows_the_correct_categ</t>
  </si>
  <si>
    <t>Delete a category after confirmation</t>
  </si>
  <si>
    <t>1. Click Delete
2. Confirm Delete</t>
  </si>
  <si>
    <t>QA_Cat_01_Edited</t>
  </si>
  <si>
    <t>Category removed from list and database; success message if implemented</t>
  </si>
  <si>
    <t>TC58_Delete_a_category_after_confirmatio</t>
  </si>
  <si>
    <t>Cancel on Delete page</t>
  </si>
  <si>
    <t>1. Click Delete
2. Click Back to List</t>
  </si>
  <si>
    <t>Category still present in list</t>
  </si>
  <si>
    <t>TC59_Cancel_on_Delete_page</t>
  </si>
  <si>
    <t>Delete a category that has books</t>
  </si>
  <si>
    <t>Logged in as Admin; category has books linked</t>
  </si>
  <si>
    <t>1. Delete that category</t>
  </si>
  <si>
    <t>Category with books</t>
  </si>
  <si>
    <t>Handled as designed: blocked with a message, or books handled; no crash</t>
  </si>
  <si>
    <t>TC60_Delete_a_category_that_has_books</t>
  </si>
  <si>
    <t>Skip if your app has no books linked to categories</t>
  </si>
  <si>
    <t>CRUD Operations</t>
  </si>
  <si>
    <t>Full Category CRUD flow</t>
  </si>
  <si>
    <t>1. Create a category
2. Verify it in the list
3. Edit it
4. Verify the change
5. Delete it
6. Verify it is gone</t>
  </si>
  <si>
    <t>Name: QA_Flow_01
Display Order: 80</t>
  </si>
  <si>
    <t>Every step works and data stays consistent</t>
  </si>
  <si>
    <t>TC61_Full_Category_CRUD_flow</t>
  </si>
  <si>
    <t>Create a book with valid data</t>
  </si>
  <si>
    <t>Logged in as Admin; at least one category exists</t>
  </si>
  <si>
    <t>1. Open Book/Product list
2. Click Create
3. Fill all fields
4. Click Create</t>
  </si>
  <si>
    <t>Valid book data</t>
  </si>
  <si>
    <t>Book saved and visible in the list</t>
  </si>
  <si>
    <t>TC62_Create_a_book_with_valid_data</t>
  </si>
  <si>
    <t>Create a book with required field empty</t>
  </si>
  <si>
    <t>1. Open Create Book page
2. Leave a required field blank
3. Click Create</t>
  </si>
  <si>
    <t>One field blank</t>
  </si>
  <si>
    <t>Required error shown; nothing saved</t>
  </si>
  <si>
    <t>TC63_Create_a_book_with_required_field_e</t>
  </si>
  <si>
    <t>Create a book with invalid price</t>
  </si>
  <si>
    <t>1. Enter letters or a negative number in Price
2. Click Create</t>
  </si>
  <si>
    <t>Price: abc / -10</t>
  </si>
  <si>
    <t>TC64_Create_a_book_with_invalid_price</t>
  </si>
  <si>
    <t>TC65</t>
  </si>
  <si>
    <t>Edit a book</t>
  </si>
  <si>
    <t>Logged in as Admin; book exists</t>
  </si>
  <si>
    <t>1. Click Edit on a book
2. Change a field
3. Click Update</t>
  </si>
  <si>
    <t>Changed price</t>
  </si>
  <si>
    <t>Updated value shown in list</t>
  </si>
  <si>
    <t>TC65_Edit_a_book</t>
  </si>
  <si>
    <t>TC66</t>
  </si>
  <si>
    <t>Delete a book</t>
  </si>
  <si>
    <t>1. Click Delete on a book
2. Confirm</t>
  </si>
  <si>
    <t>One book</t>
  </si>
  <si>
    <t>Book removed from list</t>
  </si>
  <si>
    <t>TC66_Delete_a_book</t>
  </si>
  <si>
    <t>TC67</t>
  </si>
  <si>
    <t>Order list shows all orders</t>
  </si>
  <si>
    <t>Logged in as Admin; orders exist</t>
  </si>
  <si>
    <t>1. Open the Order list</t>
  </si>
  <si>
    <t>All orders listed with order ID, customer, date, status and total</t>
  </si>
  <si>
    <t>TC67_Order_list_shows_all_orders</t>
  </si>
  <si>
    <t>TC68</t>
  </si>
  <si>
    <t>View details of an order</t>
  </si>
  <si>
    <t>Logged in as Admin; order exists</t>
  </si>
  <si>
    <t>1. Click Details on an order</t>
  </si>
  <si>
    <t>One order</t>
  </si>
  <si>
    <t>Items, quantities, price, total and delivery address are correct</t>
  </si>
  <si>
    <t>TC68_View_details_of_an_order</t>
  </si>
  <si>
    <t>TC69</t>
  </si>
  <si>
    <t>Update order status</t>
  </si>
  <si>
    <t>1. Open an order
2. Change status (e.g., Pending to Shipped)
3. Save</t>
  </si>
  <si>
    <t>Status: Shipped</t>
  </si>
  <si>
    <t>Status updated and shown in the list</t>
  </si>
  <si>
    <t>TC69_Update_order_status</t>
  </si>
  <si>
    <t>TC70</t>
  </si>
  <si>
    <t>Filter or search orders (if available)</t>
  </si>
  <si>
    <t>1. Use the filter/search option</t>
  </si>
  <si>
    <t>Status or order ID</t>
  </si>
  <si>
    <t>Only matching orders shown</t>
  </si>
  <si>
    <t>TC70_Filter_or_search_orders__if_availab</t>
  </si>
  <si>
    <t>TC71</t>
  </si>
  <si>
    <t>Cancel an order (if available)</t>
  </si>
  <si>
    <t>1. Open an order
2. Click Cancel and confirm</t>
  </si>
  <si>
    <t>Pending order</t>
  </si>
  <si>
    <t>Order marked as cancelled</t>
  </si>
  <si>
    <t>TC71_Cancel_an_order__if_available</t>
  </si>
  <si>
    <t>TC72</t>
  </si>
  <si>
    <t>View cart items</t>
  </si>
  <si>
    <t>Logged in as Admin; items in cart</t>
  </si>
  <si>
    <t>1. Open the Cart page</t>
  </si>
  <si>
    <t>All cart items shown with quantity and price</t>
  </si>
  <si>
    <t>TC72_View_cart_items</t>
  </si>
  <si>
    <t>TC73</t>
  </si>
  <si>
    <t>Increase item quantity in cart</t>
  </si>
  <si>
    <t>Logged in as Admin; item in cart</t>
  </si>
  <si>
    <t>1. Click + on an item</t>
  </si>
  <si>
    <t>Quantity 1 to 2</t>
  </si>
  <si>
    <t>Quantity increases; line total and cart total update correctly</t>
  </si>
  <si>
    <t>TC73_Increase_item_quantity_in_cart</t>
  </si>
  <si>
    <t>TC74</t>
  </si>
  <si>
    <t>Decrease item quantity in cart</t>
  </si>
  <si>
    <t>Logged in as Admin; item quantity 2</t>
  </si>
  <si>
    <t>1. Click - on an item</t>
  </si>
  <si>
    <t>Quantity 2 to 1</t>
  </si>
  <si>
    <t>Quantity decreases; totals update correctly</t>
  </si>
  <si>
    <t>TC74_Decrease_item_quantity_in_cart</t>
  </si>
  <si>
    <t>TC75</t>
  </si>
  <si>
    <t>Remove an item from the cart</t>
  </si>
  <si>
    <t>1. Click Remove on an item</t>
  </si>
  <si>
    <t>One item</t>
  </si>
  <si>
    <t>Item disappears; total recalculated</t>
  </si>
  <si>
    <t>TC75_Remove_an_item_from_the_cart</t>
  </si>
  <si>
    <t>TC76</t>
  </si>
  <si>
    <t>Decrease quantity below 1</t>
  </si>
  <si>
    <t>Logged in as Admin; item quantity 1</t>
  </si>
  <si>
    <t>1. Click - on an item with quantity 1</t>
  </si>
  <si>
    <t>Quantity 1</t>
  </si>
  <si>
    <t>Item removed or quantity stays 1 (no negative or zero)</t>
  </si>
  <si>
    <t>TC76_Decrease_quantity_below_1</t>
  </si>
  <si>
    <t>TC77</t>
  </si>
  <si>
    <t>UI/UX Testing</t>
  </si>
  <si>
    <t>Page headings and titles are correct</t>
  </si>
  <si>
    <t>UI</t>
  </si>
  <si>
    <t>1. Open each admin page and read the heading and browser tab title</t>
  </si>
  <si>
    <t>Each admin page</t>
  </si>
  <si>
    <t>Headings and titles match the page and are spelled correctly</t>
  </si>
  <si>
    <t>TC77_Page_headings_and_titles_are_correc</t>
  </si>
  <si>
    <t>TC78</t>
  </si>
  <si>
    <t>Navbar and footer look the same on every page</t>
  </si>
  <si>
    <t>1. Open several pages one by one</t>
  </si>
  <si>
    <t>Several pages</t>
  </si>
  <si>
    <t>Navbar and footer are consistent in position and style</t>
  </si>
  <si>
    <t>TC78_Navbar_and_footer_look_the_same_on</t>
  </si>
  <si>
    <t>TC79</t>
  </si>
  <si>
    <t>Table columns are aligned with headers</t>
  </si>
  <si>
    <t>1. Look at the Category table</t>
  </si>
  <si>
    <t>Headers and data are aligned; striped rows readable</t>
  </si>
  <si>
    <t>TC79_Table_columns_are_aligned_with_head</t>
  </si>
  <si>
    <t>TC80</t>
  </si>
  <si>
    <t>Buttons look clear and consistent</t>
  </si>
  <si>
    <t>1. Look at Create, Edit and Delete buttons</t>
  </si>
  <si>
    <t>Same style; Edit is blue, Delete is red; text and icons visible</t>
  </si>
  <si>
    <t>TC80_Buttons_look_clear_and_consistent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</si>
</sst>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i/>
      <sz val="10"/>
      <color rgb="FF7F7F7F"/>
      <name val="Arial"/>
      <charset val="1"/>
    </font>
    <font>
      <sz val="10"/>
      <name val="Arial"/>
      <family val="2"/>
    </font>
    <font>
      <b/>
      <sz val="11"/>
      <color theme="9" tint="-0.249977111117893"/>
      <name val="Arial"/>
      <family val="2"/>
    </font>
    <font>
      <sz val="11"/>
      <color theme="9" tint="-0.249977111117893"/>
      <name val="Arial"/>
      <family val="2"/>
    </font>
    <font>
      <sz val="11"/>
      <color theme="9" tint="-0.249977111117893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164" fontId="4" fillId="0" borderId="0" xfId="0" applyNumberFormat="1" applyFont="1"/>
    <xf numFmtId="0" fontId="3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15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opLeftCell="A2" zoomScaleNormal="100" workbookViewId="0"/>
  </sheetViews>
  <sheetFormatPr defaultColWidth="8.6640625" defaultRowHeight="14.4" x14ac:dyDescent="0.3"/>
  <cols>
    <col min="1" max="1" width="130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/>
    </row>
    <row r="11" spans="1:1" x14ac:dyDescent="0.3">
      <c r="A11" s="2" t="s">
        <v>8</v>
      </c>
    </row>
    <row r="12" spans="1:1" x14ac:dyDescent="0.3">
      <c r="A12" s="2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0"/>
  <sheetViews>
    <sheetView tabSelected="1" zoomScale="51" zoomScaleNormal="100" workbookViewId="0">
      <pane xSplit="3" ySplit="1" topLeftCell="D58" activePane="bottomRight" state="frozen"/>
      <selection pane="topRight" activeCell="D1" sqref="D1"/>
      <selection pane="bottomLeft" activeCell="A2" sqref="A2"/>
      <selection pane="bottomRight" activeCell="L62" sqref="L62"/>
    </sheetView>
  </sheetViews>
  <sheetFormatPr defaultColWidth="8.6640625" defaultRowHeight="14.4" x14ac:dyDescent="0.3"/>
  <cols>
    <col min="1" max="1" width="11" customWidth="1"/>
    <col min="2" max="2" width="16" customWidth="1"/>
    <col min="3" max="3" width="36" customWidth="1"/>
    <col min="4" max="4" width="12" customWidth="1"/>
    <col min="5" max="5" width="10" customWidth="1"/>
    <col min="6" max="6" width="30" customWidth="1"/>
    <col min="7" max="7" width="48" customWidth="1"/>
    <col min="8" max="8" width="30" customWidth="1"/>
    <col min="9" max="9" width="43" customWidth="1"/>
    <col min="10" max="10" width="29.109375" style="12" customWidth="1"/>
    <col min="11" max="11" width="12" customWidth="1"/>
    <col min="12" max="12" width="38" customWidth="1"/>
    <col min="13" max="13" width="24" customWidth="1"/>
  </cols>
  <sheetData>
    <row r="1" spans="1:13" ht="30" customHeigh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10" t="s">
        <v>19</v>
      </c>
      <c r="K1" s="3" t="s">
        <v>20</v>
      </c>
      <c r="L1" s="3" t="s">
        <v>21</v>
      </c>
      <c r="M1" s="3" t="s">
        <v>22</v>
      </c>
    </row>
    <row r="2" spans="1:13" ht="39.6" x14ac:dyDescent="0.3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11" t="s">
        <v>217</v>
      </c>
      <c r="K2" s="4" t="s">
        <v>216</v>
      </c>
      <c r="L2" s="13" t="s">
        <v>232</v>
      </c>
      <c r="M2" s="4"/>
    </row>
    <row r="3" spans="1:13" ht="39.6" x14ac:dyDescent="0.3">
      <c r="A3" s="4" t="s">
        <v>33</v>
      </c>
      <c r="B3" s="4" t="s">
        <v>24</v>
      </c>
      <c r="C3" s="4" t="s">
        <v>34</v>
      </c>
      <c r="D3" s="4" t="s">
        <v>35</v>
      </c>
      <c r="E3" s="4" t="s">
        <v>27</v>
      </c>
      <c r="F3" s="4" t="s">
        <v>36</v>
      </c>
      <c r="G3" s="4" t="s">
        <v>37</v>
      </c>
      <c r="H3" s="4" t="s">
        <v>30</v>
      </c>
      <c r="I3" s="4" t="s">
        <v>38</v>
      </c>
      <c r="J3" s="11" t="s">
        <v>218</v>
      </c>
      <c r="K3" s="4" t="s">
        <v>216</v>
      </c>
      <c r="L3" s="13" t="s">
        <v>232</v>
      </c>
      <c r="M3" s="4"/>
    </row>
    <row r="4" spans="1:13" ht="27.6" x14ac:dyDescent="0.3">
      <c r="A4" s="4" t="s">
        <v>39</v>
      </c>
      <c r="B4" s="4" t="s">
        <v>24</v>
      </c>
      <c r="C4" s="4" t="s">
        <v>40</v>
      </c>
      <c r="D4" s="4" t="s">
        <v>35</v>
      </c>
      <c r="E4" s="4" t="s">
        <v>27</v>
      </c>
      <c r="F4" s="4" t="s">
        <v>41</v>
      </c>
      <c r="G4" s="4" t="s">
        <v>42</v>
      </c>
      <c r="H4" s="4" t="s">
        <v>43</v>
      </c>
      <c r="I4" s="4" t="s">
        <v>44</v>
      </c>
      <c r="J4" s="11" t="s">
        <v>219</v>
      </c>
      <c r="K4" s="4" t="s">
        <v>216</v>
      </c>
      <c r="L4" s="13" t="s">
        <v>232</v>
      </c>
      <c r="M4" s="4"/>
    </row>
    <row r="5" spans="1:13" ht="39.6" x14ac:dyDescent="0.3">
      <c r="A5" s="4" t="s">
        <v>45</v>
      </c>
      <c r="B5" s="4" t="s">
        <v>24</v>
      </c>
      <c r="C5" s="4" t="s">
        <v>46</v>
      </c>
      <c r="D5" s="4" t="s">
        <v>35</v>
      </c>
      <c r="E5" s="4" t="s">
        <v>47</v>
      </c>
      <c r="F5" s="4" t="s">
        <v>41</v>
      </c>
      <c r="G5" s="4" t="s">
        <v>48</v>
      </c>
      <c r="H5" s="4" t="s">
        <v>49</v>
      </c>
      <c r="I5" s="4" t="s">
        <v>50</v>
      </c>
      <c r="J5" s="11" t="s">
        <v>220</v>
      </c>
      <c r="K5" s="4" t="s">
        <v>216</v>
      </c>
      <c r="L5" s="13" t="s">
        <v>232</v>
      </c>
      <c r="M5" s="4"/>
    </row>
    <row r="6" spans="1:13" ht="39.6" x14ac:dyDescent="0.3">
      <c r="A6" s="4" t="s">
        <v>51</v>
      </c>
      <c r="B6" s="4" t="s">
        <v>24</v>
      </c>
      <c r="C6" s="4" t="s">
        <v>52</v>
      </c>
      <c r="D6" s="4" t="s">
        <v>35</v>
      </c>
      <c r="E6" s="4" t="s">
        <v>27</v>
      </c>
      <c r="F6" s="4" t="s">
        <v>41</v>
      </c>
      <c r="G6" s="4" t="s">
        <v>53</v>
      </c>
      <c r="H6" s="4" t="s">
        <v>54</v>
      </c>
      <c r="I6" s="4" t="s">
        <v>55</v>
      </c>
      <c r="J6" s="11" t="s">
        <v>221</v>
      </c>
      <c r="K6" s="4" t="s">
        <v>216</v>
      </c>
      <c r="L6" s="13" t="s">
        <v>232</v>
      </c>
      <c r="M6" s="4"/>
    </row>
    <row r="7" spans="1:13" ht="39.6" x14ac:dyDescent="0.3">
      <c r="A7" s="4" t="s">
        <v>56</v>
      </c>
      <c r="B7" s="4" t="s">
        <v>24</v>
      </c>
      <c r="C7" s="4" t="s">
        <v>57</v>
      </c>
      <c r="D7" s="4" t="s">
        <v>58</v>
      </c>
      <c r="E7" s="4" t="s">
        <v>47</v>
      </c>
      <c r="F7" s="4" t="s">
        <v>41</v>
      </c>
      <c r="G7" s="4" t="s">
        <v>59</v>
      </c>
      <c r="H7" s="4" t="s">
        <v>60</v>
      </c>
      <c r="I7" s="4" t="s">
        <v>61</v>
      </c>
      <c r="J7" s="11" t="s">
        <v>222</v>
      </c>
      <c r="K7" s="4" t="s">
        <v>216</v>
      </c>
      <c r="L7" s="13" t="s">
        <v>232</v>
      </c>
      <c r="M7" s="4"/>
    </row>
    <row r="8" spans="1:13" ht="39.6" x14ac:dyDescent="0.3">
      <c r="A8" s="4" t="s">
        <v>62</v>
      </c>
      <c r="B8" s="4" t="s">
        <v>63</v>
      </c>
      <c r="C8" s="4" t="s">
        <v>64</v>
      </c>
      <c r="D8" s="4" t="s">
        <v>26</v>
      </c>
      <c r="E8" s="4" t="s">
        <v>27</v>
      </c>
      <c r="F8" s="4" t="s">
        <v>65</v>
      </c>
      <c r="G8" s="4" t="s">
        <v>66</v>
      </c>
      <c r="H8" s="4" t="s">
        <v>67</v>
      </c>
      <c r="I8" s="4" t="s">
        <v>68</v>
      </c>
      <c r="J8" s="11" t="s">
        <v>223</v>
      </c>
      <c r="K8" s="4" t="s">
        <v>216</v>
      </c>
      <c r="L8" s="13" t="s">
        <v>233</v>
      </c>
      <c r="M8" s="4"/>
    </row>
    <row r="9" spans="1:13" ht="39.6" x14ac:dyDescent="0.3">
      <c r="A9" s="4" t="s">
        <v>69</v>
      </c>
      <c r="B9" s="4" t="s">
        <v>63</v>
      </c>
      <c r="C9" s="4" t="s">
        <v>70</v>
      </c>
      <c r="D9" s="4" t="s">
        <v>35</v>
      </c>
      <c r="E9" s="4" t="s">
        <v>27</v>
      </c>
      <c r="F9" s="4" t="s">
        <v>65</v>
      </c>
      <c r="G9" s="4" t="s">
        <v>71</v>
      </c>
      <c r="H9" s="4" t="s">
        <v>72</v>
      </c>
      <c r="I9" s="4" t="s">
        <v>73</v>
      </c>
      <c r="J9" s="11" t="s">
        <v>224</v>
      </c>
      <c r="K9" s="4" t="s">
        <v>216</v>
      </c>
      <c r="L9" s="13" t="s">
        <v>233</v>
      </c>
      <c r="M9" s="4"/>
    </row>
    <row r="10" spans="1:13" ht="29.4" customHeight="1" x14ac:dyDescent="0.3">
      <c r="A10" s="4" t="s">
        <v>74</v>
      </c>
      <c r="B10" s="4" t="s">
        <v>63</v>
      </c>
      <c r="C10" s="4" t="s">
        <v>75</v>
      </c>
      <c r="D10" s="4" t="s">
        <v>35</v>
      </c>
      <c r="E10" s="4" t="s">
        <v>27</v>
      </c>
      <c r="F10" s="4" t="s">
        <v>76</v>
      </c>
      <c r="G10" s="4" t="s">
        <v>77</v>
      </c>
      <c r="H10" s="4" t="s">
        <v>78</v>
      </c>
      <c r="I10" s="4" t="s">
        <v>79</v>
      </c>
      <c r="J10" s="11" t="s">
        <v>225</v>
      </c>
      <c r="K10" s="4" t="s">
        <v>216</v>
      </c>
      <c r="L10" s="13" t="s">
        <v>233</v>
      </c>
      <c r="M10" s="4"/>
    </row>
    <row r="11" spans="1:13" ht="56.4" customHeight="1" x14ac:dyDescent="0.3">
      <c r="A11" s="4" t="s">
        <v>80</v>
      </c>
      <c r="B11" s="4" t="s">
        <v>63</v>
      </c>
      <c r="C11" s="4" t="s">
        <v>81</v>
      </c>
      <c r="D11" s="4" t="s">
        <v>35</v>
      </c>
      <c r="E11" s="4" t="s">
        <v>27</v>
      </c>
      <c r="F11" s="4" t="s">
        <v>76</v>
      </c>
      <c r="G11" s="4" t="s">
        <v>82</v>
      </c>
      <c r="H11" s="4" t="s">
        <v>83</v>
      </c>
      <c r="I11" s="4" t="s">
        <v>84</v>
      </c>
      <c r="J11" s="11" t="s">
        <v>226</v>
      </c>
      <c r="K11" s="4" t="s">
        <v>216</v>
      </c>
      <c r="L11" s="13" t="s">
        <v>233</v>
      </c>
      <c r="M11" s="4"/>
    </row>
    <row r="12" spans="1:13" ht="45.6" customHeight="1" x14ac:dyDescent="0.3">
      <c r="A12" s="4" t="s">
        <v>85</v>
      </c>
      <c r="B12" s="4" t="s">
        <v>63</v>
      </c>
      <c r="C12" s="4" t="s">
        <v>86</v>
      </c>
      <c r="D12" s="4" t="s">
        <v>35</v>
      </c>
      <c r="E12" s="4" t="s">
        <v>47</v>
      </c>
      <c r="F12" s="4" t="s">
        <v>76</v>
      </c>
      <c r="G12" s="4" t="s">
        <v>87</v>
      </c>
      <c r="H12" s="4" t="s">
        <v>88</v>
      </c>
      <c r="I12" s="4" t="s">
        <v>89</v>
      </c>
      <c r="J12" s="11" t="s">
        <v>227</v>
      </c>
      <c r="K12" s="4" t="s">
        <v>216</v>
      </c>
      <c r="L12" s="13" t="s">
        <v>233</v>
      </c>
      <c r="M12" s="4"/>
    </row>
    <row r="13" spans="1:13" ht="39.6" x14ac:dyDescent="0.3">
      <c r="A13" s="4" t="s">
        <v>90</v>
      </c>
      <c r="B13" s="4" t="s">
        <v>63</v>
      </c>
      <c r="C13" s="4" t="s">
        <v>91</v>
      </c>
      <c r="D13" s="4" t="s">
        <v>35</v>
      </c>
      <c r="E13" s="4" t="s">
        <v>47</v>
      </c>
      <c r="F13" s="4" t="s">
        <v>76</v>
      </c>
      <c r="G13" s="4" t="s">
        <v>92</v>
      </c>
      <c r="H13" s="4" t="s">
        <v>93</v>
      </c>
      <c r="I13" s="4" t="s">
        <v>94</v>
      </c>
      <c r="J13" s="11" t="s">
        <v>227</v>
      </c>
      <c r="K13" s="4" t="s">
        <v>216</v>
      </c>
      <c r="L13" s="13" t="s">
        <v>233</v>
      </c>
      <c r="M13" s="4"/>
    </row>
    <row r="14" spans="1:13" ht="33.6" customHeight="1" x14ac:dyDescent="0.3">
      <c r="A14" s="4" t="s">
        <v>95</v>
      </c>
      <c r="B14" s="4" t="s">
        <v>63</v>
      </c>
      <c r="C14" s="4" t="s">
        <v>96</v>
      </c>
      <c r="D14" s="4" t="s">
        <v>26</v>
      </c>
      <c r="E14" s="4" t="s">
        <v>97</v>
      </c>
      <c r="F14" s="4" t="s">
        <v>76</v>
      </c>
      <c r="G14" s="4" t="s">
        <v>98</v>
      </c>
      <c r="H14" s="4" t="s">
        <v>99</v>
      </c>
      <c r="I14" s="4" t="s">
        <v>100</v>
      </c>
      <c r="J14" s="11" t="s">
        <v>228</v>
      </c>
      <c r="K14" s="4" t="s">
        <v>216</v>
      </c>
      <c r="L14" s="13" t="s">
        <v>233</v>
      </c>
      <c r="M14" s="4"/>
    </row>
    <row r="15" spans="1:13" ht="39.6" x14ac:dyDescent="0.3">
      <c r="A15" s="4" t="s">
        <v>101</v>
      </c>
      <c r="B15" s="4" t="s">
        <v>63</v>
      </c>
      <c r="C15" s="4" t="s">
        <v>102</v>
      </c>
      <c r="D15" s="4" t="s">
        <v>35</v>
      </c>
      <c r="E15" s="4" t="s">
        <v>47</v>
      </c>
      <c r="F15" s="4" t="s">
        <v>65</v>
      </c>
      <c r="G15" s="4" t="s">
        <v>103</v>
      </c>
      <c r="H15" s="4" t="s">
        <v>104</v>
      </c>
      <c r="I15" s="4" t="s">
        <v>105</v>
      </c>
      <c r="J15" s="11" t="s">
        <v>227</v>
      </c>
      <c r="K15" s="4" t="s">
        <v>216</v>
      </c>
      <c r="L15" s="13" t="s">
        <v>233</v>
      </c>
      <c r="M15" s="4"/>
    </row>
    <row r="16" spans="1:13" ht="39.6" x14ac:dyDescent="0.3">
      <c r="A16" s="4" t="s">
        <v>106</v>
      </c>
      <c r="B16" s="4" t="s">
        <v>63</v>
      </c>
      <c r="C16" s="4" t="s">
        <v>107</v>
      </c>
      <c r="D16" s="4" t="s">
        <v>108</v>
      </c>
      <c r="E16" s="4" t="s">
        <v>27</v>
      </c>
      <c r="F16" s="4" t="s">
        <v>76</v>
      </c>
      <c r="G16" s="4" t="s">
        <v>109</v>
      </c>
      <c r="H16" s="4" t="s">
        <v>110</v>
      </c>
      <c r="I16" s="4" t="s">
        <v>111</v>
      </c>
      <c r="J16" s="11" t="s">
        <v>229</v>
      </c>
      <c r="K16" s="4" t="s">
        <v>216</v>
      </c>
      <c r="L16" s="13" t="s">
        <v>233</v>
      </c>
      <c r="M16" s="4"/>
    </row>
    <row r="17" spans="1:13" ht="31.8" customHeight="1" x14ac:dyDescent="0.3">
      <c r="A17" s="4" t="s">
        <v>112</v>
      </c>
      <c r="B17" s="4" t="s">
        <v>113</v>
      </c>
      <c r="C17" s="4" t="s">
        <v>114</v>
      </c>
      <c r="D17" s="4" t="s">
        <v>26</v>
      </c>
      <c r="E17" s="4" t="s">
        <v>27</v>
      </c>
      <c r="F17" s="4" t="s">
        <v>115</v>
      </c>
      <c r="G17" s="4" t="s">
        <v>116</v>
      </c>
      <c r="H17" s="4" t="s">
        <v>117</v>
      </c>
      <c r="I17" s="4" t="s">
        <v>118</v>
      </c>
      <c r="J17" s="11" t="s">
        <v>230</v>
      </c>
      <c r="K17" s="4" t="s">
        <v>216</v>
      </c>
      <c r="L17" s="13" t="s">
        <v>233</v>
      </c>
      <c r="M17" s="4"/>
    </row>
    <row r="18" spans="1:13" ht="32.4" customHeight="1" x14ac:dyDescent="0.3">
      <c r="A18" s="4" t="s">
        <v>119</v>
      </c>
      <c r="B18" s="4" t="s">
        <v>113</v>
      </c>
      <c r="C18" s="4" t="s">
        <v>120</v>
      </c>
      <c r="D18" s="4" t="s">
        <v>108</v>
      </c>
      <c r="E18" s="4" t="s">
        <v>27</v>
      </c>
      <c r="F18" s="4" t="s">
        <v>121</v>
      </c>
      <c r="G18" s="4" t="s">
        <v>122</v>
      </c>
      <c r="H18" s="4" t="s">
        <v>123</v>
      </c>
      <c r="I18" s="4" t="s">
        <v>124</v>
      </c>
      <c r="J18" s="11" t="s">
        <v>231</v>
      </c>
      <c r="K18" s="4" t="s">
        <v>216</v>
      </c>
      <c r="L18" s="13" t="s">
        <v>233</v>
      </c>
      <c r="M18" s="4"/>
    </row>
    <row r="19" spans="1:13" ht="39.6" x14ac:dyDescent="0.3">
      <c r="A19" s="4" t="s">
        <v>125</v>
      </c>
      <c r="B19" s="4" t="s">
        <v>126</v>
      </c>
      <c r="C19" s="4" t="s">
        <v>127</v>
      </c>
      <c r="D19" s="4" t="s">
        <v>108</v>
      </c>
      <c r="E19" s="4" t="s">
        <v>27</v>
      </c>
      <c r="F19" s="4" t="s">
        <v>128</v>
      </c>
      <c r="G19" s="4" t="s">
        <v>129</v>
      </c>
      <c r="H19" s="4" t="s">
        <v>130</v>
      </c>
      <c r="I19" s="4" t="s">
        <v>131</v>
      </c>
      <c r="J19" s="11" t="s">
        <v>234</v>
      </c>
      <c r="K19" s="4" t="s">
        <v>216</v>
      </c>
      <c r="L19" s="4" t="s">
        <v>132</v>
      </c>
      <c r="M19" s="4"/>
    </row>
    <row r="20" spans="1:13" ht="26.4" x14ac:dyDescent="0.3">
      <c r="A20" s="13" t="s">
        <v>135</v>
      </c>
      <c r="B20" s="13" t="s">
        <v>235</v>
      </c>
      <c r="C20" s="13" t="s">
        <v>236</v>
      </c>
      <c r="D20" s="13" t="s">
        <v>26</v>
      </c>
      <c r="E20" s="13" t="s">
        <v>27</v>
      </c>
      <c r="F20" s="13" t="s">
        <v>237</v>
      </c>
      <c r="G20" s="13" t="s">
        <v>238</v>
      </c>
      <c r="H20" s="13" t="s">
        <v>239</v>
      </c>
      <c r="I20" s="13" t="s">
        <v>240</v>
      </c>
      <c r="J20" s="13"/>
      <c r="K20" s="13" t="s">
        <v>32</v>
      </c>
      <c r="L20" s="13" t="s">
        <v>241</v>
      </c>
    </row>
    <row r="21" spans="1:13" ht="26.4" x14ac:dyDescent="0.3">
      <c r="A21" s="13" t="s">
        <v>136</v>
      </c>
      <c r="B21" s="13" t="s">
        <v>235</v>
      </c>
      <c r="C21" s="13" t="s">
        <v>242</v>
      </c>
      <c r="D21" s="13" t="s">
        <v>26</v>
      </c>
      <c r="E21" s="13" t="s">
        <v>27</v>
      </c>
      <c r="F21" s="13" t="s">
        <v>237</v>
      </c>
      <c r="G21" s="13" t="s">
        <v>243</v>
      </c>
      <c r="H21" s="13" t="s">
        <v>123</v>
      </c>
      <c r="I21" s="13" t="s">
        <v>244</v>
      </c>
      <c r="J21" s="13"/>
      <c r="K21" s="13" t="s">
        <v>32</v>
      </c>
      <c r="L21" s="13" t="s">
        <v>245</v>
      </c>
    </row>
    <row r="22" spans="1:13" ht="26.4" x14ac:dyDescent="0.3">
      <c r="A22" s="13" t="s">
        <v>138</v>
      </c>
      <c r="B22" s="13" t="s">
        <v>235</v>
      </c>
      <c r="C22" s="13" t="s">
        <v>246</v>
      </c>
      <c r="D22" s="13" t="s">
        <v>26</v>
      </c>
      <c r="E22" s="13" t="s">
        <v>27</v>
      </c>
      <c r="F22" s="13" t="s">
        <v>237</v>
      </c>
      <c r="G22" s="13" t="s">
        <v>247</v>
      </c>
      <c r="H22" s="13" t="s">
        <v>123</v>
      </c>
      <c r="I22" s="13" t="s">
        <v>248</v>
      </c>
      <c r="J22" s="13"/>
      <c r="K22" s="13" t="s">
        <v>32</v>
      </c>
      <c r="L22" s="13" t="s">
        <v>249</v>
      </c>
    </row>
    <row r="23" spans="1:13" ht="26.4" x14ac:dyDescent="0.3">
      <c r="A23" s="13" t="s">
        <v>141</v>
      </c>
      <c r="B23" s="13" t="s">
        <v>235</v>
      </c>
      <c r="C23" s="13" t="s">
        <v>250</v>
      </c>
      <c r="D23" s="13" t="s">
        <v>26</v>
      </c>
      <c r="E23" s="13" t="s">
        <v>27</v>
      </c>
      <c r="F23" s="13" t="s">
        <v>237</v>
      </c>
      <c r="G23" s="13" t="s">
        <v>251</v>
      </c>
      <c r="H23" s="13" t="s">
        <v>123</v>
      </c>
      <c r="I23" s="13" t="s">
        <v>252</v>
      </c>
      <c r="J23" s="13"/>
      <c r="K23" s="13" t="s">
        <v>32</v>
      </c>
      <c r="L23" s="13" t="s">
        <v>253</v>
      </c>
    </row>
    <row r="24" spans="1:13" ht="26.4" x14ac:dyDescent="0.3">
      <c r="A24" s="13" t="s">
        <v>143</v>
      </c>
      <c r="B24" s="13" t="s">
        <v>235</v>
      </c>
      <c r="C24" s="13" t="s">
        <v>254</v>
      </c>
      <c r="D24" s="13" t="s">
        <v>26</v>
      </c>
      <c r="E24" s="13" t="s">
        <v>47</v>
      </c>
      <c r="F24" s="13" t="s">
        <v>237</v>
      </c>
      <c r="G24" s="13" t="s">
        <v>255</v>
      </c>
      <c r="H24" s="13" t="s">
        <v>123</v>
      </c>
      <c r="I24" s="13" t="s">
        <v>256</v>
      </c>
      <c r="J24" s="13"/>
      <c r="K24" s="13" t="s">
        <v>32</v>
      </c>
      <c r="L24" s="13" t="s">
        <v>257</v>
      </c>
    </row>
    <row r="25" spans="1:13" ht="26.4" x14ac:dyDescent="0.3">
      <c r="A25" s="13" t="s">
        <v>145</v>
      </c>
      <c r="B25" s="13" t="s">
        <v>235</v>
      </c>
      <c r="C25" s="13" t="s">
        <v>258</v>
      </c>
      <c r="D25" s="13" t="s">
        <v>26</v>
      </c>
      <c r="E25" s="13" t="s">
        <v>27</v>
      </c>
      <c r="F25" s="13" t="s">
        <v>259</v>
      </c>
      <c r="G25" s="13" t="s">
        <v>260</v>
      </c>
      <c r="H25" s="13" t="s">
        <v>123</v>
      </c>
      <c r="I25" s="13" t="s">
        <v>261</v>
      </c>
      <c r="J25" s="13"/>
      <c r="K25" s="13" t="s">
        <v>32</v>
      </c>
      <c r="L25" s="13" t="s">
        <v>262</v>
      </c>
    </row>
    <row r="26" spans="1:13" ht="26.4" x14ac:dyDescent="0.3">
      <c r="A26" s="13" t="s">
        <v>146</v>
      </c>
      <c r="B26" s="13" t="s">
        <v>235</v>
      </c>
      <c r="C26" s="13" t="s">
        <v>263</v>
      </c>
      <c r="D26" s="13" t="s">
        <v>26</v>
      </c>
      <c r="E26" s="13" t="s">
        <v>27</v>
      </c>
      <c r="F26" s="13" t="s">
        <v>264</v>
      </c>
      <c r="G26" s="13" t="s">
        <v>265</v>
      </c>
      <c r="H26" s="13" t="s">
        <v>266</v>
      </c>
      <c r="I26" s="13" t="s">
        <v>267</v>
      </c>
      <c r="J26" s="13"/>
      <c r="K26" s="13" t="s">
        <v>32</v>
      </c>
      <c r="L26" s="13" t="s">
        <v>268</v>
      </c>
    </row>
    <row r="27" spans="1:13" ht="26.4" x14ac:dyDescent="0.3">
      <c r="A27" s="13" t="s">
        <v>147</v>
      </c>
      <c r="B27" s="13" t="s">
        <v>235</v>
      </c>
      <c r="C27" s="13" t="s">
        <v>269</v>
      </c>
      <c r="D27" s="13" t="s">
        <v>26</v>
      </c>
      <c r="E27" s="13" t="s">
        <v>27</v>
      </c>
      <c r="F27" s="13" t="s">
        <v>264</v>
      </c>
      <c r="G27" s="13" t="s">
        <v>270</v>
      </c>
      <c r="H27" s="13" t="s">
        <v>266</v>
      </c>
      <c r="I27" s="13" t="s">
        <v>271</v>
      </c>
      <c r="J27" s="13"/>
      <c r="K27" s="13" t="s">
        <v>32</v>
      </c>
      <c r="L27" s="13" t="s">
        <v>272</v>
      </c>
    </row>
    <row r="28" spans="1:13" ht="26.4" x14ac:dyDescent="0.3">
      <c r="A28" s="13" t="s">
        <v>148</v>
      </c>
      <c r="B28" s="13" t="s">
        <v>235</v>
      </c>
      <c r="C28" s="13" t="s">
        <v>273</v>
      </c>
      <c r="D28" s="13" t="s">
        <v>26</v>
      </c>
      <c r="E28" s="13" t="s">
        <v>47</v>
      </c>
      <c r="F28" s="13" t="s">
        <v>274</v>
      </c>
      <c r="G28" s="13" t="s">
        <v>275</v>
      </c>
      <c r="H28" s="13" t="s">
        <v>123</v>
      </c>
      <c r="I28" s="13" t="s">
        <v>276</v>
      </c>
      <c r="J28" s="13"/>
      <c r="K28" s="13" t="s">
        <v>32</v>
      </c>
      <c r="L28" s="13" t="s">
        <v>277</v>
      </c>
    </row>
    <row r="29" spans="1:13" ht="39.6" x14ac:dyDescent="0.3">
      <c r="A29" s="13" t="s">
        <v>149</v>
      </c>
      <c r="B29" s="13" t="s">
        <v>235</v>
      </c>
      <c r="C29" s="13" t="s">
        <v>278</v>
      </c>
      <c r="D29" s="13" t="s">
        <v>26</v>
      </c>
      <c r="E29" s="13" t="s">
        <v>47</v>
      </c>
      <c r="F29" s="13" t="s">
        <v>237</v>
      </c>
      <c r="G29" s="13" t="s">
        <v>279</v>
      </c>
      <c r="H29" s="13" t="s">
        <v>123</v>
      </c>
      <c r="I29" s="13" t="s">
        <v>280</v>
      </c>
      <c r="J29" s="13"/>
      <c r="K29" s="13" t="s">
        <v>32</v>
      </c>
      <c r="L29" s="13" t="s">
        <v>281</v>
      </c>
    </row>
    <row r="30" spans="1:13" ht="26.4" x14ac:dyDescent="0.3">
      <c r="A30" s="13" t="s">
        <v>150</v>
      </c>
      <c r="B30" s="13" t="s">
        <v>235</v>
      </c>
      <c r="C30" s="13" t="s">
        <v>139</v>
      </c>
      <c r="D30" s="13" t="s">
        <v>26</v>
      </c>
      <c r="E30" s="13" t="s">
        <v>97</v>
      </c>
      <c r="F30" s="13" t="s">
        <v>282</v>
      </c>
      <c r="G30" s="13" t="s">
        <v>140</v>
      </c>
      <c r="H30" s="13" t="s">
        <v>123</v>
      </c>
      <c r="I30" s="13" t="s">
        <v>283</v>
      </c>
      <c r="J30" s="13"/>
      <c r="K30" s="13" t="s">
        <v>32</v>
      </c>
      <c r="L30" s="13" t="s">
        <v>284</v>
      </c>
    </row>
    <row r="31" spans="1:13" ht="26.4" x14ac:dyDescent="0.3">
      <c r="A31" s="13" t="s">
        <v>151</v>
      </c>
      <c r="B31" s="13" t="s">
        <v>235</v>
      </c>
      <c r="C31" s="13" t="s">
        <v>285</v>
      </c>
      <c r="D31" s="13" t="s">
        <v>26</v>
      </c>
      <c r="E31" s="13" t="s">
        <v>47</v>
      </c>
      <c r="F31" s="13" t="s">
        <v>237</v>
      </c>
      <c r="G31" s="13" t="s">
        <v>286</v>
      </c>
      <c r="H31" s="13" t="s">
        <v>287</v>
      </c>
      <c r="I31" s="13" t="s">
        <v>288</v>
      </c>
      <c r="J31" s="13"/>
      <c r="K31" s="13" t="s">
        <v>32</v>
      </c>
      <c r="L31" s="13" t="s">
        <v>289</v>
      </c>
      <c r="M31" s="13"/>
    </row>
    <row r="32" spans="1:13" ht="26.4" x14ac:dyDescent="0.3">
      <c r="A32" s="13" t="s">
        <v>152</v>
      </c>
      <c r="B32" s="13" t="s">
        <v>235</v>
      </c>
      <c r="C32" s="13" t="s">
        <v>290</v>
      </c>
      <c r="D32" s="13" t="s">
        <v>35</v>
      </c>
      <c r="E32" s="13" t="s">
        <v>47</v>
      </c>
      <c r="F32" s="13" t="s">
        <v>237</v>
      </c>
      <c r="G32" s="13" t="s">
        <v>291</v>
      </c>
      <c r="H32" s="13" t="s">
        <v>137</v>
      </c>
      <c r="I32" s="13" t="s">
        <v>292</v>
      </c>
      <c r="J32" s="13"/>
      <c r="K32" s="13" t="s">
        <v>32</v>
      </c>
      <c r="L32" s="13" t="s">
        <v>293</v>
      </c>
      <c r="M32" s="13"/>
    </row>
    <row r="33" spans="1:13" ht="26.4" x14ac:dyDescent="0.3">
      <c r="A33" s="13" t="s">
        <v>153</v>
      </c>
      <c r="B33" s="13" t="s">
        <v>235</v>
      </c>
      <c r="C33" s="13" t="s">
        <v>142</v>
      </c>
      <c r="D33" s="13" t="s">
        <v>26</v>
      </c>
      <c r="E33" s="13" t="s">
        <v>97</v>
      </c>
      <c r="F33" s="13" t="s">
        <v>134</v>
      </c>
      <c r="G33" s="13" t="s">
        <v>294</v>
      </c>
      <c r="H33" s="13" t="s">
        <v>123</v>
      </c>
      <c r="I33" s="13" t="s">
        <v>295</v>
      </c>
      <c r="J33" s="13"/>
      <c r="K33" s="13" t="s">
        <v>32</v>
      </c>
      <c r="L33" s="13" t="s">
        <v>296</v>
      </c>
      <c r="M33" s="13"/>
    </row>
    <row r="34" spans="1:13" ht="26.4" x14ac:dyDescent="0.3">
      <c r="A34" s="13" t="s">
        <v>154</v>
      </c>
      <c r="B34" s="13" t="s">
        <v>297</v>
      </c>
      <c r="C34" s="13" t="s">
        <v>298</v>
      </c>
      <c r="D34" s="13" t="s">
        <v>26</v>
      </c>
      <c r="E34" s="13" t="s">
        <v>27</v>
      </c>
      <c r="F34" s="13" t="s">
        <v>264</v>
      </c>
      <c r="G34" s="13" t="s">
        <v>299</v>
      </c>
      <c r="H34" s="13" t="s">
        <v>123</v>
      </c>
      <c r="I34" s="13" t="s">
        <v>300</v>
      </c>
      <c r="J34" s="13"/>
      <c r="K34" s="13" t="s">
        <v>32</v>
      </c>
      <c r="L34" s="13" t="s">
        <v>301</v>
      </c>
      <c r="M34" s="13"/>
    </row>
    <row r="35" spans="1:13" ht="26.4" x14ac:dyDescent="0.3">
      <c r="A35" s="13" t="s">
        <v>155</v>
      </c>
      <c r="B35" s="13" t="s">
        <v>297</v>
      </c>
      <c r="C35" s="13" t="s">
        <v>302</v>
      </c>
      <c r="D35" s="13" t="s">
        <v>303</v>
      </c>
      <c r="E35" s="13" t="s">
        <v>47</v>
      </c>
      <c r="F35" s="13" t="s">
        <v>304</v>
      </c>
      <c r="G35" s="13" t="s">
        <v>305</v>
      </c>
      <c r="H35" s="13" t="s">
        <v>306</v>
      </c>
      <c r="I35" s="13" t="s">
        <v>307</v>
      </c>
      <c r="J35" s="13"/>
      <c r="K35" s="13" t="s">
        <v>32</v>
      </c>
      <c r="L35" s="13" t="s">
        <v>308</v>
      </c>
      <c r="M35" s="13"/>
    </row>
    <row r="36" spans="1:13" ht="26.4" x14ac:dyDescent="0.3">
      <c r="A36" s="13" t="s">
        <v>156</v>
      </c>
      <c r="B36" s="13" t="s">
        <v>297</v>
      </c>
      <c r="C36" s="13" t="s">
        <v>309</v>
      </c>
      <c r="D36" s="13" t="s">
        <v>26</v>
      </c>
      <c r="E36" s="13" t="s">
        <v>97</v>
      </c>
      <c r="F36" s="13" t="s">
        <v>310</v>
      </c>
      <c r="G36" s="13" t="s">
        <v>299</v>
      </c>
      <c r="H36" s="13" t="s">
        <v>311</v>
      </c>
      <c r="I36" s="13" t="s">
        <v>312</v>
      </c>
      <c r="J36" s="13"/>
      <c r="K36" s="13" t="s">
        <v>32</v>
      </c>
      <c r="L36" s="13" t="s">
        <v>313</v>
      </c>
      <c r="M36" s="13"/>
    </row>
    <row r="37" spans="1:13" ht="39.6" x14ac:dyDescent="0.3">
      <c r="A37" s="13" t="s">
        <v>157</v>
      </c>
      <c r="B37" s="13" t="s">
        <v>297</v>
      </c>
      <c r="C37" s="13" t="s">
        <v>314</v>
      </c>
      <c r="D37" s="13" t="s">
        <v>26</v>
      </c>
      <c r="E37" s="13" t="s">
        <v>27</v>
      </c>
      <c r="F37" s="13" t="s">
        <v>237</v>
      </c>
      <c r="G37" s="13" t="s">
        <v>315</v>
      </c>
      <c r="H37" s="13" t="s">
        <v>316</v>
      </c>
      <c r="I37" s="13" t="s">
        <v>317</v>
      </c>
      <c r="J37" s="13"/>
      <c r="K37" s="13" t="s">
        <v>32</v>
      </c>
      <c r="L37" s="13" t="s">
        <v>318</v>
      </c>
      <c r="M37" s="13"/>
    </row>
    <row r="38" spans="1:13" ht="39.6" x14ac:dyDescent="0.3">
      <c r="A38" s="13" t="s">
        <v>158</v>
      </c>
      <c r="B38" s="13" t="s">
        <v>297</v>
      </c>
      <c r="C38" s="13" t="s">
        <v>319</v>
      </c>
      <c r="D38" s="13" t="s">
        <v>35</v>
      </c>
      <c r="E38" s="13" t="s">
        <v>27</v>
      </c>
      <c r="F38" s="13" t="s">
        <v>237</v>
      </c>
      <c r="G38" s="13" t="s">
        <v>320</v>
      </c>
      <c r="H38" s="13" t="s">
        <v>83</v>
      </c>
      <c r="I38" s="13" t="s">
        <v>321</v>
      </c>
      <c r="J38" s="13"/>
      <c r="K38" s="13" t="s">
        <v>32</v>
      </c>
      <c r="L38" s="13" t="s">
        <v>322</v>
      </c>
      <c r="M38" s="13"/>
    </row>
    <row r="39" spans="1:13" ht="39.6" x14ac:dyDescent="0.3">
      <c r="A39" s="13" t="s">
        <v>160</v>
      </c>
      <c r="B39" s="13" t="s">
        <v>297</v>
      </c>
      <c r="C39" s="13" t="s">
        <v>323</v>
      </c>
      <c r="D39" s="13" t="s">
        <v>35</v>
      </c>
      <c r="E39" s="13" t="s">
        <v>27</v>
      </c>
      <c r="F39" s="13" t="s">
        <v>237</v>
      </c>
      <c r="G39" s="13" t="s">
        <v>324</v>
      </c>
      <c r="H39" s="13" t="s">
        <v>325</v>
      </c>
      <c r="I39" s="13" t="s">
        <v>326</v>
      </c>
      <c r="J39" s="13"/>
      <c r="K39" s="13" t="s">
        <v>32</v>
      </c>
      <c r="L39" s="13" t="s">
        <v>327</v>
      </c>
      <c r="M39" s="13"/>
    </row>
    <row r="40" spans="1:13" ht="39.6" x14ac:dyDescent="0.3">
      <c r="A40" s="13" t="s">
        <v>161</v>
      </c>
      <c r="B40" s="13" t="s">
        <v>297</v>
      </c>
      <c r="C40" s="13" t="s">
        <v>328</v>
      </c>
      <c r="D40" s="13" t="s">
        <v>35</v>
      </c>
      <c r="E40" s="13" t="s">
        <v>27</v>
      </c>
      <c r="F40" s="13" t="s">
        <v>237</v>
      </c>
      <c r="G40" s="13" t="s">
        <v>329</v>
      </c>
      <c r="H40" s="13" t="s">
        <v>330</v>
      </c>
      <c r="I40" s="13" t="s">
        <v>331</v>
      </c>
      <c r="J40" s="13"/>
      <c r="K40" s="13" t="s">
        <v>32</v>
      </c>
      <c r="L40" s="13" t="s">
        <v>332</v>
      </c>
      <c r="M40" s="13"/>
    </row>
    <row r="41" spans="1:13" ht="39.6" x14ac:dyDescent="0.3">
      <c r="A41" s="13" t="s">
        <v>162</v>
      </c>
      <c r="B41" s="13" t="s">
        <v>297</v>
      </c>
      <c r="C41" s="13" t="s">
        <v>333</v>
      </c>
      <c r="D41" s="13" t="s">
        <v>58</v>
      </c>
      <c r="E41" s="13" t="s">
        <v>27</v>
      </c>
      <c r="F41" s="13" t="s">
        <v>237</v>
      </c>
      <c r="G41" s="13" t="s">
        <v>334</v>
      </c>
      <c r="H41" s="13" t="s">
        <v>335</v>
      </c>
      <c r="I41" s="13" t="s">
        <v>336</v>
      </c>
      <c r="J41" s="13"/>
      <c r="K41" s="13" t="s">
        <v>32</v>
      </c>
      <c r="L41" s="13" t="s">
        <v>337</v>
      </c>
      <c r="M41" s="13" t="s">
        <v>338</v>
      </c>
    </row>
    <row r="42" spans="1:13" ht="26.4" x14ac:dyDescent="0.3">
      <c r="A42" s="13" t="s">
        <v>163</v>
      </c>
      <c r="B42" s="13" t="s">
        <v>297</v>
      </c>
      <c r="C42" s="13" t="s">
        <v>339</v>
      </c>
      <c r="D42" s="13" t="s">
        <v>58</v>
      </c>
      <c r="E42" s="13" t="s">
        <v>47</v>
      </c>
      <c r="F42" s="13" t="s">
        <v>237</v>
      </c>
      <c r="G42" s="13" t="s">
        <v>340</v>
      </c>
      <c r="H42" s="13" t="s">
        <v>341</v>
      </c>
      <c r="I42" s="13" t="s">
        <v>342</v>
      </c>
      <c r="J42" s="13"/>
      <c r="K42" s="13" t="s">
        <v>32</v>
      </c>
      <c r="L42" s="13" t="s">
        <v>343</v>
      </c>
      <c r="M42" s="13" t="s">
        <v>344</v>
      </c>
    </row>
    <row r="43" spans="1:13" ht="39.6" x14ac:dyDescent="0.3">
      <c r="A43" s="13" t="s">
        <v>165</v>
      </c>
      <c r="B43" s="13" t="s">
        <v>297</v>
      </c>
      <c r="C43" s="13" t="s">
        <v>345</v>
      </c>
      <c r="D43" s="13" t="s">
        <v>35</v>
      </c>
      <c r="E43" s="13" t="s">
        <v>27</v>
      </c>
      <c r="F43" s="13" t="s">
        <v>237</v>
      </c>
      <c r="G43" s="13" t="s">
        <v>346</v>
      </c>
      <c r="H43" s="13" t="s">
        <v>347</v>
      </c>
      <c r="I43" s="13" t="s">
        <v>348</v>
      </c>
      <c r="J43" s="13"/>
      <c r="K43" s="13" t="s">
        <v>32</v>
      </c>
      <c r="L43" s="13" t="s">
        <v>349</v>
      </c>
      <c r="M43" s="13"/>
    </row>
    <row r="44" spans="1:13" ht="39.6" x14ac:dyDescent="0.3">
      <c r="A44" s="13" t="s">
        <v>166</v>
      </c>
      <c r="B44" s="13" t="s">
        <v>297</v>
      </c>
      <c r="C44" s="13" t="s">
        <v>350</v>
      </c>
      <c r="D44" s="13" t="s">
        <v>58</v>
      </c>
      <c r="E44" s="13" t="s">
        <v>27</v>
      </c>
      <c r="F44" s="13" t="s">
        <v>237</v>
      </c>
      <c r="G44" s="13" t="s">
        <v>351</v>
      </c>
      <c r="H44" s="13" t="s">
        <v>352</v>
      </c>
      <c r="I44" s="13" t="s">
        <v>353</v>
      </c>
      <c r="J44" s="13"/>
      <c r="K44" s="13" t="s">
        <v>32</v>
      </c>
      <c r="L44" s="13" t="s">
        <v>354</v>
      </c>
      <c r="M44" s="13" t="s">
        <v>355</v>
      </c>
    </row>
    <row r="45" spans="1:13" ht="39.6" x14ac:dyDescent="0.3">
      <c r="A45" s="13" t="s">
        <v>167</v>
      </c>
      <c r="B45" s="13" t="s">
        <v>297</v>
      </c>
      <c r="C45" s="13" t="s">
        <v>356</v>
      </c>
      <c r="D45" s="13" t="s">
        <v>58</v>
      </c>
      <c r="E45" s="13" t="s">
        <v>27</v>
      </c>
      <c r="F45" s="13" t="s">
        <v>237</v>
      </c>
      <c r="G45" s="13" t="s">
        <v>357</v>
      </c>
      <c r="H45" s="13" t="s">
        <v>358</v>
      </c>
      <c r="I45" s="13" t="s">
        <v>353</v>
      </c>
      <c r="J45" s="13"/>
      <c r="K45" s="13" t="s">
        <v>32</v>
      </c>
      <c r="L45" s="13" t="s">
        <v>359</v>
      </c>
      <c r="M45" s="13" t="s">
        <v>360</v>
      </c>
    </row>
    <row r="46" spans="1:13" ht="39.6" x14ac:dyDescent="0.3">
      <c r="A46" s="13" t="s">
        <v>168</v>
      </c>
      <c r="B46" s="13" t="s">
        <v>297</v>
      </c>
      <c r="C46" s="13" t="s">
        <v>361</v>
      </c>
      <c r="D46" s="13" t="s">
        <v>58</v>
      </c>
      <c r="E46" s="13" t="s">
        <v>47</v>
      </c>
      <c r="F46" s="13" t="s">
        <v>237</v>
      </c>
      <c r="G46" s="13" t="s">
        <v>362</v>
      </c>
      <c r="H46" s="13" t="s">
        <v>363</v>
      </c>
      <c r="I46" s="13" t="s">
        <v>364</v>
      </c>
      <c r="J46" s="13"/>
      <c r="K46" s="13" t="s">
        <v>32</v>
      </c>
      <c r="L46" s="13" t="s">
        <v>365</v>
      </c>
      <c r="M46" s="13" t="s">
        <v>360</v>
      </c>
    </row>
    <row r="47" spans="1:13" ht="39.6" x14ac:dyDescent="0.3">
      <c r="A47" s="13" t="s">
        <v>170</v>
      </c>
      <c r="B47" s="13" t="s">
        <v>297</v>
      </c>
      <c r="C47" s="13" t="s">
        <v>366</v>
      </c>
      <c r="D47" s="13" t="s">
        <v>35</v>
      </c>
      <c r="E47" s="13" t="s">
        <v>47</v>
      </c>
      <c r="F47" s="13" t="s">
        <v>237</v>
      </c>
      <c r="G47" s="13" t="s">
        <v>367</v>
      </c>
      <c r="H47" s="13" t="s">
        <v>368</v>
      </c>
      <c r="I47" s="13" t="s">
        <v>348</v>
      </c>
      <c r="J47" s="13"/>
      <c r="K47" s="13" t="s">
        <v>32</v>
      </c>
      <c r="L47" s="13" t="s">
        <v>369</v>
      </c>
      <c r="M47" s="13"/>
    </row>
    <row r="48" spans="1:13" ht="52.8" x14ac:dyDescent="0.3">
      <c r="A48" s="13" t="s">
        <v>171</v>
      </c>
      <c r="B48" s="13" t="s">
        <v>297</v>
      </c>
      <c r="C48" s="13" t="s">
        <v>370</v>
      </c>
      <c r="D48" s="13" t="s">
        <v>35</v>
      </c>
      <c r="E48" s="13" t="s">
        <v>27</v>
      </c>
      <c r="F48" s="13" t="s">
        <v>371</v>
      </c>
      <c r="G48" s="13" t="s">
        <v>372</v>
      </c>
      <c r="H48" s="13" t="s">
        <v>373</v>
      </c>
      <c r="I48" s="13" t="s">
        <v>374</v>
      </c>
      <c r="J48" s="13"/>
      <c r="K48" s="13" t="s">
        <v>32</v>
      </c>
      <c r="L48" s="13" t="s">
        <v>375</v>
      </c>
      <c r="M48" s="13" t="s">
        <v>376</v>
      </c>
    </row>
    <row r="49" spans="1:13" ht="39.6" x14ac:dyDescent="0.3">
      <c r="A49" s="13" t="s">
        <v>172</v>
      </c>
      <c r="B49" s="13" t="s">
        <v>297</v>
      </c>
      <c r="C49" s="13" t="s">
        <v>377</v>
      </c>
      <c r="D49" s="13" t="s">
        <v>35</v>
      </c>
      <c r="E49" s="13" t="s">
        <v>47</v>
      </c>
      <c r="F49" s="13" t="s">
        <v>237</v>
      </c>
      <c r="G49" s="13" t="s">
        <v>378</v>
      </c>
      <c r="H49" s="13" t="s">
        <v>379</v>
      </c>
      <c r="I49" s="13" t="s">
        <v>380</v>
      </c>
      <c r="J49" s="13"/>
      <c r="K49" s="13" t="s">
        <v>32</v>
      </c>
      <c r="L49" s="13" t="s">
        <v>381</v>
      </c>
      <c r="M49" s="13"/>
    </row>
    <row r="50" spans="1:13" ht="26.4" x14ac:dyDescent="0.3">
      <c r="A50" s="13" t="s">
        <v>173</v>
      </c>
      <c r="B50" s="13" t="s">
        <v>297</v>
      </c>
      <c r="C50" s="13" t="s">
        <v>382</v>
      </c>
      <c r="D50" s="13" t="s">
        <v>35</v>
      </c>
      <c r="E50" s="13" t="s">
        <v>47</v>
      </c>
      <c r="F50" s="13" t="s">
        <v>237</v>
      </c>
      <c r="G50" s="13" t="s">
        <v>383</v>
      </c>
      <c r="H50" s="13" t="s">
        <v>384</v>
      </c>
      <c r="I50" s="13" t="s">
        <v>385</v>
      </c>
      <c r="J50" s="13"/>
      <c r="K50" s="13" t="s">
        <v>32</v>
      </c>
      <c r="L50" s="13" t="s">
        <v>386</v>
      </c>
      <c r="M50" s="13"/>
    </row>
    <row r="51" spans="1:13" ht="26.4" x14ac:dyDescent="0.3">
      <c r="A51" s="13" t="s">
        <v>174</v>
      </c>
      <c r="B51" s="13" t="s">
        <v>297</v>
      </c>
      <c r="C51" s="13" t="s">
        <v>387</v>
      </c>
      <c r="D51" s="13" t="s">
        <v>26</v>
      </c>
      <c r="E51" s="13" t="s">
        <v>97</v>
      </c>
      <c r="F51" s="13" t="s">
        <v>237</v>
      </c>
      <c r="G51" s="13" t="s">
        <v>388</v>
      </c>
      <c r="H51" s="13" t="s">
        <v>389</v>
      </c>
      <c r="I51" s="13" t="s">
        <v>390</v>
      </c>
      <c r="J51" s="13"/>
      <c r="K51" s="13" t="s">
        <v>32</v>
      </c>
      <c r="L51" s="13" t="s">
        <v>391</v>
      </c>
      <c r="M51" s="13"/>
    </row>
    <row r="52" spans="1:13" ht="26.4" x14ac:dyDescent="0.3">
      <c r="A52" s="13" t="s">
        <v>175</v>
      </c>
      <c r="B52" s="13" t="s">
        <v>297</v>
      </c>
      <c r="C52" s="13" t="s">
        <v>392</v>
      </c>
      <c r="D52" s="13" t="s">
        <v>26</v>
      </c>
      <c r="E52" s="13" t="s">
        <v>47</v>
      </c>
      <c r="F52" s="13" t="s">
        <v>393</v>
      </c>
      <c r="G52" s="13" t="s">
        <v>394</v>
      </c>
      <c r="H52" s="13" t="s">
        <v>266</v>
      </c>
      <c r="I52" s="13" t="s">
        <v>395</v>
      </c>
      <c r="J52" s="13"/>
      <c r="K52" s="13" t="s">
        <v>32</v>
      </c>
      <c r="L52" s="13" t="s">
        <v>396</v>
      </c>
      <c r="M52" s="13"/>
    </row>
    <row r="53" spans="1:13" ht="39.6" x14ac:dyDescent="0.3">
      <c r="A53" s="13" t="s">
        <v>177</v>
      </c>
      <c r="B53" s="13" t="s">
        <v>297</v>
      </c>
      <c r="C53" s="13" t="s">
        <v>397</v>
      </c>
      <c r="D53" s="13" t="s">
        <v>26</v>
      </c>
      <c r="E53" s="13" t="s">
        <v>27</v>
      </c>
      <c r="F53" s="13" t="s">
        <v>393</v>
      </c>
      <c r="G53" s="13" t="s">
        <v>398</v>
      </c>
      <c r="H53" s="13" t="s">
        <v>399</v>
      </c>
      <c r="I53" s="13" t="s">
        <v>400</v>
      </c>
      <c r="J53" s="13"/>
      <c r="K53" s="13" t="s">
        <v>32</v>
      </c>
      <c r="L53" s="13" t="s">
        <v>401</v>
      </c>
      <c r="M53" s="13"/>
    </row>
    <row r="54" spans="1:13" ht="39.6" x14ac:dyDescent="0.3">
      <c r="A54" s="13" t="s">
        <v>178</v>
      </c>
      <c r="B54" s="13" t="s">
        <v>297</v>
      </c>
      <c r="C54" s="13" t="s">
        <v>402</v>
      </c>
      <c r="D54" s="13" t="s">
        <v>35</v>
      </c>
      <c r="E54" s="13" t="s">
        <v>27</v>
      </c>
      <c r="F54" s="13" t="s">
        <v>393</v>
      </c>
      <c r="G54" s="13" t="s">
        <v>403</v>
      </c>
      <c r="H54" s="13" t="s">
        <v>404</v>
      </c>
      <c r="I54" s="13" t="s">
        <v>405</v>
      </c>
      <c r="J54" s="13"/>
      <c r="K54" s="13" t="s">
        <v>32</v>
      </c>
      <c r="L54" s="13" t="s">
        <v>406</v>
      </c>
      <c r="M54" s="13"/>
    </row>
    <row r="55" spans="1:13" ht="39.6" x14ac:dyDescent="0.3">
      <c r="A55" s="13" t="s">
        <v>179</v>
      </c>
      <c r="B55" s="13" t="s">
        <v>297</v>
      </c>
      <c r="C55" s="13" t="s">
        <v>407</v>
      </c>
      <c r="D55" s="13" t="s">
        <v>35</v>
      </c>
      <c r="E55" s="13" t="s">
        <v>47</v>
      </c>
      <c r="F55" s="13" t="s">
        <v>393</v>
      </c>
      <c r="G55" s="13" t="s">
        <v>408</v>
      </c>
      <c r="H55" s="13" t="s">
        <v>347</v>
      </c>
      <c r="I55" s="13" t="s">
        <v>409</v>
      </c>
      <c r="J55" s="13"/>
      <c r="K55" s="13" t="s">
        <v>32</v>
      </c>
      <c r="L55" s="13" t="s">
        <v>410</v>
      </c>
      <c r="M55" s="13"/>
    </row>
    <row r="56" spans="1:13" ht="26.4" x14ac:dyDescent="0.3">
      <c r="A56" s="13" t="s">
        <v>181</v>
      </c>
      <c r="B56" s="13" t="s">
        <v>297</v>
      </c>
      <c r="C56" s="13" t="s">
        <v>411</v>
      </c>
      <c r="D56" s="13" t="s">
        <v>303</v>
      </c>
      <c r="E56" s="13" t="s">
        <v>47</v>
      </c>
      <c r="F56" s="13" t="s">
        <v>304</v>
      </c>
      <c r="G56" s="13" t="s">
        <v>412</v>
      </c>
      <c r="H56" s="13" t="s">
        <v>413</v>
      </c>
      <c r="I56" s="13" t="s">
        <v>414</v>
      </c>
      <c r="J56" s="13"/>
      <c r="K56" s="13" t="s">
        <v>32</v>
      </c>
      <c r="L56" s="13" t="s">
        <v>415</v>
      </c>
      <c r="M56" s="13"/>
    </row>
    <row r="57" spans="1:13" ht="26.4" x14ac:dyDescent="0.3">
      <c r="A57" s="13" t="s">
        <v>182</v>
      </c>
      <c r="B57" s="13" t="s">
        <v>297</v>
      </c>
      <c r="C57" s="13" t="s">
        <v>416</v>
      </c>
      <c r="D57" s="13" t="s">
        <v>26</v>
      </c>
      <c r="E57" s="13" t="s">
        <v>47</v>
      </c>
      <c r="F57" s="13" t="s">
        <v>393</v>
      </c>
      <c r="G57" s="13" t="s">
        <v>417</v>
      </c>
      <c r="H57" s="13" t="s">
        <v>266</v>
      </c>
      <c r="I57" s="13" t="s">
        <v>418</v>
      </c>
      <c r="J57" s="13"/>
      <c r="K57" s="13" t="s">
        <v>32</v>
      </c>
      <c r="L57" s="13" t="s">
        <v>419</v>
      </c>
      <c r="M57" s="13"/>
    </row>
    <row r="58" spans="1:13" ht="26.4" x14ac:dyDescent="0.3">
      <c r="A58" s="13" t="s">
        <v>183</v>
      </c>
      <c r="B58" s="13" t="s">
        <v>297</v>
      </c>
      <c r="C58" s="13" t="s">
        <v>420</v>
      </c>
      <c r="D58" s="13" t="s">
        <v>26</v>
      </c>
      <c r="E58" s="13" t="s">
        <v>27</v>
      </c>
      <c r="F58" s="13" t="s">
        <v>393</v>
      </c>
      <c r="G58" s="13" t="s">
        <v>421</v>
      </c>
      <c r="H58" s="13" t="s">
        <v>422</v>
      </c>
      <c r="I58" s="13" t="s">
        <v>423</v>
      </c>
      <c r="J58" s="13"/>
      <c r="K58" s="13" t="s">
        <v>32</v>
      </c>
      <c r="L58" s="13" t="s">
        <v>424</v>
      </c>
      <c r="M58" s="13"/>
    </row>
    <row r="59" spans="1:13" ht="26.4" x14ac:dyDescent="0.3">
      <c r="A59" s="13" t="s">
        <v>185</v>
      </c>
      <c r="B59" s="13" t="s">
        <v>297</v>
      </c>
      <c r="C59" s="13" t="s">
        <v>425</v>
      </c>
      <c r="D59" s="13" t="s">
        <v>26</v>
      </c>
      <c r="E59" s="13" t="s">
        <v>47</v>
      </c>
      <c r="F59" s="13" t="s">
        <v>393</v>
      </c>
      <c r="G59" s="13" t="s">
        <v>426</v>
      </c>
      <c r="H59" s="13" t="s">
        <v>266</v>
      </c>
      <c r="I59" s="13" t="s">
        <v>427</v>
      </c>
      <c r="J59" s="13"/>
      <c r="K59" s="13" t="s">
        <v>32</v>
      </c>
      <c r="L59" s="13" t="s">
        <v>428</v>
      </c>
      <c r="M59" s="13"/>
    </row>
    <row r="60" spans="1:13" ht="26.4" x14ac:dyDescent="0.3">
      <c r="A60" s="13" t="s">
        <v>186</v>
      </c>
      <c r="B60" s="13" t="s">
        <v>297</v>
      </c>
      <c r="C60" s="13" t="s">
        <v>429</v>
      </c>
      <c r="D60" s="13" t="s">
        <v>35</v>
      </c>
      <c r="E60" s="13" t="s">
        <v>47</v>
      </c>
      <c r="F60" s="13" t="s">
        <v>430</v>
      </c>
      <c r="G60" s="13" t="s">
        <v>431</v>
      </c>
      <c r="H60" s="13" t="s">
        <v>432</v>
      </c>
      <c r="I60" s="13" t="s">
        <v>433</v>
      </c>
      <c r="J60" s="13"/>
      <c r="K60" s="13" t="s">
        <v>32</v>
      </c>
      <c r="L60" s="13" t="s">
        <v>434</v>
      </c>
      <c r="M60" s="13" t="s">
        <v>435</v>
      </c>
    </row>
    <row r="61" spans="1:13" ht="79.2" x14ac:dyDescent="0.3">
      <c r="A61" s="13" t="s">
        <v>187</v>
      </c>
      <c r="B61" s="13" t="s">
        <v>436</v>
      </c>
      <c r="C61" s="13" t="s">
        <v>437</v>
      </c>
      <c r="D61" s="13" t="s">
        <v>26</v>
      </c>
      <c r="E61" s="13" t="s">
        <v>27</v>
      </c>
      <c r="F61" s="13" t="s">
        <v>237</v>
      </c>
      <c r="G61" s="13" t="s">
        <v>438</v>
      </c>
      <c r="H61" s="13" t="s">
        <v>439</v>
      </c>
      <c r="I61" s="13" t="s">
        <v>440</v>
      </c>
      <c r="J61" s="13"/>
      <c r="K61" s="13" t="s">
        <v>32</v>
      </c>
      <c r="L61" s="13" t="s">
        <v>441</v>
      </c>
      <c r="M61" s="4"/>
    </row>
    <row r="62" spans="1:13" ht="52.8" x14ac:dyDescent="0.3">
      <c r="A62" s="13" t="s">
        <v>188</v>
      </c>
      <c r="B62" s="13" t="s">
        <v>436</v>
      </c>
      <c r="C62" s="13" t="s">
        <v>442</v>
      </c>
      <c r="D62" s="13" t="s">
        <v>26</v>
      </c>
      <c r="E62" s="13" t="s">
        <v>27</v>
      </c>
      <c r="F62" s="13" t="s">
        <v>443</v>
      </c>
      <c r="G62" s="13" t="s">
        <v>444</v>
      </c>
      <c r="H62" s="13" t="s">
        <v>445</v>
      </c>
      <c r="I62" s="13" t="s">
        <v>446</v>
      </c>
      <c r="J62" s="13"/>
      <c r="K62" s="13" t="s">
        <v>32</v>
      </c>
      <c r="L62" s="13" t="s">
        <v>447</v>
      </c>
      <c r="M62" s="4"/>
    </row>
    <row r="63" spans="1:13" ht="39.6" x14ac:dyDescent="0.3">
      <c r="A63" s="13" t="s">
        <v>190</v>
      </c>
      <c r="B63" s="13" t="s">
        <v>436</v>
      </c>
      <c r="C63" s="13" t="s">
        <v>448</v>
      </c>
      <c r="D63" s="13" t="s">
        <v>35</v>
      </c>
      <c r="E63" s="13" t="s">
        <v>27</v>
      </c>
      <c r="F63" s="13" t="s">
        <v>237</v>
      </c>
      <c r="G63" s="13" t="s">
        <v>449</v>
      </c>
      <c r="H63" s="13" t="s">
        <v>450</v>
      </c>
      <c r="I63" s="13" t="s">
        <v>451</v>
      </c>
      <c r="J63" s="13"/>
      <c r="K63" s="13" t="s">
        <v>32</v>
      </c>
      <c r="L63" s="13" t="s">
        <v>452</v>
      </c>
      <c r="M63" s="4"/>
    </row>
    <row r="64" spans="1:13" ht="26.4" x14ac:dyDescent="0.3">
      <c r="A64" s="13" t="s">
        <v>192</v>
      </c>
      <c r="B64" s="13" t="s">
        <v>436</v>
      </c>
      <c r="C64" s="13" t="s">
        <v>453</v>
      </c>
      <c r="D64" s="13" t="s">
        <v>35</v>
      </c>
      <c r="E64" s="13" t="s">
        <v>47</v>
      </c>
      <c r="F64" s="13" t="s">
        <v>237</v>
      </c>
      <c r="G64" s="13" t="s">
        <v>454</v>
      </c>
      <c r="H64" s="13" t="s">
        <v>455</v>
      </c>
      <c r="I64" s="13" t="s">
        <v>348</v>
      </c>
      <c r="J64" s="13"/>
      <c r="K64" s="13" t="s">
        <v>32</v>
      </c>
      <c r="L64" s="13" t="s">
        <v>456</v>
      </c>
      <c r="M64" s="4"/>
    </row>
    <row r="65" spans="1:12" ht="39.6" x14ac:dyDescent="0.3">
      <c r="A65" s="13" t="s">
        <v>457</v>
      </c>
      <c r="B65" s="13" t="s">
        <v>436</v>
      </c>
      <c r="C65" s="13" t="s">
        <v>458</v>
      </c>
      <c r="D65" s="13" t="s">
        <v>26</v>
      </c>
      <c r="E65" s="13" t="s">
        <v>27</v>
      </c>
      <c r="F65" s="13" t="s">
        <v>459</v>
      </c>
      <c r="G65" s="13" t="s">
        <v>460</v>
      </c>
      <c r="H65" s="13" t="s">
        <v>461</v>
      </c>
      <c r="I65" s="13" t="s">
        <v>462</v>
      </c>
      <c r="J65" s="13"/>
      <c r="K65" s="13" t="s">
        <v>32</v>
      </c>
      <c r="L65" s="13" t="s">
        <v>463</v>
      </c>
    </row>
    <row r="66" spans="1:12" ht="26.4" x14ac:dyDescent="0.3">
      <c r="A66" s="13" t="s">
        <v>464</v>
      </c>
      <c r="B66" s="13" t="s">
        <v>436</v>
      </c>
      <c r="C66" s="13" t="s">
        <v>465</v>
      </c>
      <c r="D66" s="13" t="s">
        <v>26</v>
      </c>
      <c r="E66" s="13" t="s">
        <v>27</v>
      </c>
      <c r="F66" s="13" t="s">
        <v>459</v>
      </c>
      <c r="G66" s="13" t="s">
        <v>466</v>
      </c>
      <c r="H66" s="13" t="s">
        <v>467</v>
      </c>
      <c r="I66" s="13" t="s">
        <v>468</v>
      </c>
      <c r="J66" s="13"/>
      <c r="K66" s="13" t="s">
        <v>32</v>
      </c>
      <c r="L66" s="13" t="s">
        <v>469</v>
      </c>
    </row>
    <row r="67" spans="1:12" ht="26.4" x14ac:dyDescent="0.3">
      <c r="A67" s="13" t="s">
        <v>470</v>
      </c>
      <c r="B67" s="13" t="s">
        <v>436</v>
      </c>
      <c r="C67" s="13" t="s">
        <v>471</v>
      </c>
      <c r="D67" s="13" t="s">
        <v>26</v>
      </c>
      <c r="E67" s="13" t="s">
        <v>27</v>
      </c>
      <c r="F67" s="13" t="s">
        <v>472</v>
      </c>
      <c r="G67" s="13" t="s">
        <v>473</v>
      </c>
      <c r="H67" s="13" t="s">
        <v>123</v>
      </c>
      <c r="I67" s="13" t="s">
        <v>474</v>
      </c>
      <c r="J67" s="13"/>
      <c r="K67" s="13" t="s">
        <v>32</v>
      </c>
      <c r="L67" s="13" t="s">
        <v>475</v>
      </c>
    </row>
    <row r="68" spans="1:12" ht="26.4" x14ac:dyDescent="0.3">
      <c r="A68" s="13" t="s">
        <v>476</v>
      </c>
      <c r="B68" s="13" t="s">
        <v>436</v>
      </c>
      <c r="C68" s="13" t="s">
        <v>477</v>
      </c>
      <c r="D68" s="13" t="s">
        <v>26</v>
      </c>
      <c r="E68" s="13" t="s">
        <v>27</v>
      </c>
      <c r="F68" s="13" t="s">
        <v>478</v>
      </c>
      <c r="G68" s="13" t="s">
        <v>479</v>
      </c>
      <c r="H68" s="13" t="s">
        <v>480</v>
      </c>
      <c r="I68" s="13" t="s">
        <v>481</v>
      </c>
      <c r="J68" s="13"/>
      <c r="K68" s="13" t="s">
        <v>32</v>
      </c>
      <c r="L68" s="13" t="s">
        <v>482</v>
      </c>
    </row>
    <row r="69" spans="1:12" ht="39.6" x14ac:dyDescent="0.3">
      <c r="A69" s="13" t="s">
        <v>483</v>
      </c>
      <c r="B69" s="13" t="s">
        <v>436</v>
      </c>
      <c r="C69" s="13" t="s">
        <v>484</v>
      </c>
      <c r="D69" s="13" t="s">
        <v>26</v>
      </c>
      <c r="E69" s="13" t="s">
        <v>27</v>
      </c>
      <c r="F69" s="13" t="s">
        <v>478</v>
      </c>
      <c r="G69" s="13" t="s">
        <v>485</v>
      </c>
      <c r="H69" s="13" t="s">
        <v>486</v>
      </c>
      <c r="I69" s="13" t="s">
        <v>487</v>
      </c>
      <c r="J69" s="13"/>
      <c r="K69" s="13" t="s">
        <v>32</v>
      </c>
      <c r="L69" s="13" t="s">
        <v>488</v>
      </c>
    </row>
    <row r="70" spans="1:12" x14ac:dyDescent="0.3">
      <c r="A70" s="13" t="s">
        <v>489</v>
      </c>
      <c r="B70" s="13" t="s">
        <v>436</v>
      </c>
      <c r="C70" s="13" t="s">
        <v>490</v>
      </c>
      <c r="D70" s="13" t="s">
        <v>26</v>
      </c>
      <c r="E70" s="13" t="s">
        <v>97</v>
      </c>
      <c r="F70" s="13" t="s">
        <v>472</v>
      </c>
      <c r="G70" s="13" t="s">
        <v>491</v>
      </c>
      <c r="H70" s="13" t="s">
        <v>492</v>
      </c>
      <c r="I70" s="13" t="s">
        <v>493</v>
      </c>
      <c r="J70" s="13"/>
      <c r="K70" s="13" t="s">
        <v>32</v>
      </c>
      <c r="L70" s="13" t="s">
        <v>494</v>
      </c>
    </row>
    <row r="71" spans="1:12" ht="26.4" x14ac:dyDescent="0.3">
      <c r="A71" s="13" t="s">
        <v>495</v>
      </c>
      <c r="B71" s="13" t="s">
        <v>436</v>
      </c>
      <c r="C71" s="13" t="s">
        <v>496</v>
      </c>
      <c r="D71" s="13" t="s">
        <v>26</v>
      </c>
      <c r="E71" s="13" t="s">
        <v>47</v>
      </c>
      <c r="F71" s="13" t="s">
        <v>478</v>
      </c>
      <c r="G71" s="13" t="s">
        <v>497</v>
      </c>
      <c r="H71" s="13" t="s">
        <v>498</v>
      </c>
      <c r="I71" s="13" t="s">
        <v>499</v>
      </c>
      <c r="J71" s="13"/>
      <c r="K71" s="13" t="s">
        <v>32</v>
      </c>
      <c r="L71" s="13" t="s">
        <v>500</v>
      </c>
    </row>
    <row r="72" spans="1:12" x14ac:dyDescent="0.3">
      <c r="A72" s="13" t="s">
        <v>501</v>
      </c>
      <c r="B72" s="13" t="s">
        <v>436</v>
      </c>
      <c r="C72" s="13" t="s">
        <v>502</v>
      </c>
      <c r="D72" s="13" t="s">
        <v>26</v>
      </c>
      <c r="E72" s="13" t="s">
        <v>47</v>
      </c>
      <c r="F72" s="13" t="s">
        <v>503</v>
      </c>
      <c r="G72" s="13" t="s">
        <v>504</v>
      </c>
      <c r="H72" s="13" t="s">
        <v>123</v>
      </c>
      <c r="I72" s="13" t="s">
        <v>505</v>
      </c>
      <c r="J72" s="13"/>
      <c r="K72" s="13" t="s">
        <v>32</v>
      </c>
      <c r="L72" s="13" t="s">
        <v>506</v>
      </c>
    </row>
    <row r="73" spans="1:12" ht="26.4" x14ac:dyDescent="0.3">
      <c r="A73" s="13" t="s">
        <v>507</v>
      </c>
      <c r="B73" s="13" t="s">
        <v>436</v>
      </c>
      <c r="C73" s="13" t="s">
        <v>508</v>
      </c>
      <c r="D73" s="13" t="s">
        <v>26</v>
      </c>
      <c r="E73" s="13" t="s">
        <v>27</v>
      </c>
      <c r="F73" s="13" t="s">
        <v>509</v>
      </c>
      <c r="G73" s="13" t="s">
        <v>510</v>
      </c>
      <c r="H73" s="13" t="s">
        <v>511</v>
      </c>
      <c r="I73" s="13" t="s">
        <v>512</v>
      </c>
      <c r="J73" s="13"/>
      <c r="K73" s="13" t="s">
        <v>32</v>
      </c>
      <c r="L73" s="13" t="s">
        <v>513</v>
      </c>
    </row>
    <row r="74" spans="1:12" ht="26.4" x14ac:dyDescent="0.3">
      <c r="A74" s="13" t="s">
        <v>514</v>
      </c>
      <c r="B74" s="13" t="s">
        <v>436</v>
      </c>
      <c r="C74" s="13" t="s">
        <v>515</v>
      </c>
      <c r="D74" s="13" t="s">
        <v>26</v>
      </c>
      <c r="E74" s="13" t="s">
        <v>27</v>
      </c>
      <c r="F74" s="13" t="s">
        <v>516</v>
      </c>
      <c r="G74" s="13" t="s">
        <v>517</v>
      </c>
      <c r="H74" s="13" t="s">
        <v>518</v>
      </c>
      <c r="I74" s="13" t="s">
        <v>519</v>
      </c>
      <c r="J74" s="13"/>
      <c r="K74" s="13" t="s">
        <v>32</v>
      </c>
      <c r="L74" s="13" t="s">
        <v>520</v>
      </c>
    </row>
    <row r="75" spans="1:12" x14ac:dyDescent="0.3">
      <c r="A75" s="13" t="s">
        <v>521</v>
      </c>
      <c r="B75" s="13" t="s">
        <v>436</v>
      </c>
      <c r="C75" s="13" t="s">
        <v>522</v>
      </c>
      <c r="D75" s="13" t="s">
        <v>26</v>
      </c>
      <c r="E75" s="13" t="s">
        <v>27</v>
      </c>
      <c r="F75" s="13" t="s">
        <v>509</v>
      </c>
      <c r="G75" s="13" t="s">
        <v>523</v>
      </c>
      <c r="H75" s="13" t="s">
        <v>524</v>
      </c>
      <c r="I75" s="13" t="s">
        <v>525</v>
      </c>
      <c r="J75" s="13"/>
      <c r="K75" s="13" t="s">
        <v>32</v>
      </c>
      <c r="L75" s="13" t="s">
        <v>526</v>
      </c>
    </row>
    <row r="76" spans="1:12" ht="26.4" x14ac:dyDescent="0.3">
      <c r="A76" s="13" t="s">
        <v>527</v>
      </c>
      <c r="B76" s="13" t="s">
        <v>436</v>
      </c>
      <c r="C76" s="13" t="s">
        <v>528</v>
      </c>
      <c r="D76" s="13" t="s">
        <v>58</v>
      </c>
      <c r="E76" s="13" t="s">
        <v>47</v>
      </c>
      <c r="F76" s="13" t="s">
        <v>529</v>
      </c>
      <c r="G76" s="13" t="s">
        <v>530</v>
      </c>
      <c r="H76" s="13" t="s">
        <v>531</v>
      </c>
      <c r="I76" s="13" t="s">
        <v>532</v>
      </c>
      <c r="J76" s="13"/>
      <c r="K76" s="13" t="s">
        <v>32</v>
      </c>
      <c r="L76" s="13" t="s">
        <v>533</v>
      </c>
    </row>
    <row r="77" spans="1:12" ht="26.4" x14ac:dyDescent="0.3">
      <c r="A77" s="13" t="s">
        <v>534</v>
      </c>
      <c r="B77" s="13" t="s">
        <v>535</v>
      </c>
      <c r="C77" s="13" t="s">
        <v>536</v>
      </c>
      <c r="D77" s="13" t="s">
        <v>537</v>
      </c>
      <c r="E77" s="13" t="s">
        <v>97</v>
      </c>
      <c r="F77" s="13" t="s">
        <v>237</v>
      </c>
      <c r="G77" s="13" t="s">
        <v>538</v>
      </c>
      <c r="H77" s="13" t="s">
        <v>539</v>
      </c>
      <c r="I77" s="13" t="s">
        <v>540</v>
      </c>
      <c r="J77" s="13"/>
      <c r="K77" s="13" t="s">
        <v>32</v>
      </c>
      <c r="L77" s="13" t="s">
        <v>541</v>
      </c>
    </row>
    <row r="78" spans="1:12" ht="26.4" x14ac:dyDescent="0.3">
      <c r="A78" s="13" t="s">
        <v>542</v>
      </c>
      <c r="B78" s="13" t="s">
        <v>535</v>
      </c>
      <c r="C78" s="13" t="s">
        <v>543</v>
      </c>
      <c r="D78" s="13" t="s">
        <v>537</v>
      </c>
      <c r="E78" s="13" t="s">
        <v>97</v>
      </c>
      <c r="F78" s="13" t="s">
        <v>237</v>
      </c>
      <c r="G78" s="13" t="s">
        <v>544</v>
      </c>
      <c r="H78" s="13" t="s">
        <v>545</v>
      </c>
      <c r="I78" s="13" t="s">
        <v>546</v>
      </c>
      <c r="J78" s="13"/>
      <c r="K78" s="13" t="s">
        <v>32</v>
      </c>
      <c r="L78" s="13" t="s">
        <v>547</v>
      </c>
    </row>
    <row r="79" spans="1:12" ht="26.4" x14ac:dyDescent="0.3">
      <c r="A79" s="13" t="s">
        <v>548</v>
      </c>
      <c r="B79" s="13" t="s">
        <v>535</v>
      </c>
      <c r="C79" s="13" t="s">
        <v>549</v>
      </c>
      <c r="D79" s="13" t="s">
        <v>537</v>
      </c>
      <c r="E79" s="13" t="s">
        <v>97</v>
      </c>
      <c r="F79" s="13" t="s">
        <v>259</v>
      </c>
      <c r="G79" s="13" t="s">
        <v>550</v>
      </c>
      <c r="H79" s="13" t="s">
        <v>123</v>
      </c>
      <c r="I79" s="13" t="s">
        <v>551</v>
      </c>
      <c r="J79" s="13"/>
      <c r="K79" s="13" t="s">
        <v>32</v>
      </c>
      <c r="L79" s="13" t="s">
        <v>552</v>
      </c>
    </row>
    <row r="80" spans="1:12" ht="26.4" x14ac:dyDescent="0.3">
      <c r="A80" s="13" t="s">
        <v>553</v>
      </c>
      <c r="B80" s="13" t="s">
        <v>535</v>
      </c>
      <c r="C80" s="13" t="s">
        <v>554</v>
      </c>
      <c r="D80" s="13" t="s">
        <v>537</v>
      </c>
      <c r="E80" s="13" t="s">
        <v>97</v>
      </c>
      <c r="F80" s="13" t="s">
        <v>237</v>
      </c>
      <c r="G80" s="13" t="s">
        <v>555</v>
      </c>
      <c r="H80" s="13" t="s">
        <v>123</v>
      </c>
      <c r="I80" s="13" t="s">
        <v>556</v>
      </c>
      <c r="J80" s="13"/>
      <c r="K80" s="13" t="s">
        <v>32</v>
      </c>
      <c r="L80" s="13" t="s">
        <v>557</v>
      </c>
    </row>
  </sheetData>
  <autoFilter ref="A1:M64" xr:uid="{00000000-0009-0000-0000-000001000000}"/>
  <conditionalFormatting sqref="K2:K19">
    <cfRule type="cellIs" dxfId="14" priority="11" operator="equal">
      <formula>"Pass"</formula>
    </cfRule>
    <cfRule type="cellIs" dxfId="13" priority="12" operator="equal">
      <formula>"Fail"</formula>
    </cfRule>
    <cfRule type="cellIs" dxfId="12" priority="13" operator="equal">
      <formula>"Blocked"</formula>
    </cfRule>
  </conditionalFormatting>
  <conditionalFormatting sqref="K20:K30">
    <cfRule type="cellIs" dxfId="11" priority="7" operator="equal">
      <formula>"Pass"</formula>
    </cfRule>
    <cfRule type="cellIs" dxfId="10" priority="8" operator="equal">
      <formula>"Fail"</formula>
    </cfRule>
    <cfRule type="cellIs" dxfId="9" priority="9" operator="equal">
      <formula>"Blocked"</formula>
    </cfRule>
  </conditionalFormatting>
  <conditionalFormatting sqref="K31:K60">
    <cfRule type="cellIs" dxfId="8" priority="4" operator="equal">
      <formula>"Pass"</formula>
    </cfRule>
    <cfRule type="cellIs" dxfId="7" priority="5" operator="equal">
      <formula>"Fail"</formula>
    </cfRule>
    <cfRule type="cellIs" dxfId="6" priority="6" operator="equal">
      <formula>"Blocked"</formula>
    </cfRule>
  </conditionalFormatting>
  <conditionalFormatting sqref="K61:K80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2">
    <dataValidation type="list" allowBlank="1" sqref="K2:K80" xr:uid="{00000000-0002-0000-0100-000000000000}">
      <formula1>"Not Run,Pass,Fail,Blocked"</formula1>
      <formula2>0</formula2>
    </dataValidation>
    <dataValidation type="list" sqref="E2:E80" xr:uid="{00000000-0002-0000-01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topLeftCell="A3" zoomScale="86" zoomScaleNormal="100" workbookViewId="0"/>
  </sheetViews>
  <sheetFormatPr defaultColWidth="8.6640625" defaultRowHeight="14.4" x14ac:dyDescent="0.3"/>
  <cols>
    <col min="1" max="1" width="28" customWidth="1"/>
    <col min="2" max="2" width="14" customWidth="1"/>
  </cols>
  <sheetData>
    <row r="1" spans="1:2" ht="17.399999999999999" x14ac:dyDescent="0.3">
      <c r="A1" s="5" t="s">
        <v>194</v>
      </c>
    </row>
    <row r="3" spans="1:2" x14ac:dyDescent="0.3">
      <c r="A3" s="6" t="s">
        <v>195</v>
      </c>
      <c r="B3" s="6">
        <f>COUNTA('Test Cases'!A2:A51)</f>
        <v>50</v>
      </c>
    </row>
    <row r="4" spans="1:2" x14ac:dyDescent="0.3">
      <c r="A4" s="6" t="s">
        <v>196</v>
      </c>
      <c r="B4" s="6">
        <f>COUNTIF('Test Cases'!K2:K51,"Pass")</f>
        <v>18</v>
      </c>
    </row>
    <row r="5" spans="1:2" x14ac:dyDescent="0.3">
      <c r="A5" s="6" t="s">
        <v>197</v>
      </c>
      <c r="B5" s="6">
        <f>COUNTIF('Test Cases'!K2:K51,"Fail")</f>
        <v>0</v>
      </c>
    </row>
    <row r="6" spans="1:2" x14ac:dyDescent="0.3">
      <c r="A6" s="6" t="s">
        <v>198</v>
      </c>
      <c r="B6" s="6">
        <f>COUNTIF('Test Cases'!K2:K51,"Blocked")</f>
        <v>0</v>
      </c>
    </row>
    <row r="7" spans="1:2" x14ac:dyDescent="0.3">
      <c r="A7" s="6" t="s">
        <v>32</v>
      </c>
      <c r="B7" s="6">
        <f>COUNTIF('Test Cases'!K2:K51,"Not Run")</f>
        <v>32</v>
      </c>
    </row>
    <row r="8" spans="1:2" x14ac:dyDescent="0.3">
      <c r="A8" s="6" t="s">
        <v>199</v>
      </c>
      <c r="B8" s="7">
        <f>IF((B3-B7)=0,0,B4/(B3-B7))</f>
        <v>1</v>
      </c>
    </row>
    <row r="10" spans="1:2" x14ac:dyDescent="0.3">
      <c r="A10" s="1" t="s">
        <v>200</v>
      </c>
    </row>
    <row r="11" spans="1:2" x14ac:dyDescent="0.3">
      <c r="A11" s="6" t="s">
        <v>26</v>
      </c>
      <c r="B11" s="6">
        <f>COUNTIF('Test Cases'!D2:D51,A11)</f>
        <v>21</v>
      </c>
    </row>
    <row r="12" spans="1:2" x14ac:dyDescent="0.3">
      <c r="A12" s="6" t="s">
        <v>35</v>
      </c>
      <c r="B12" s="6">
        <f>COUNTIF('Test Cases'!D2:D51,A12)</f>
        <v>19</v>
      </c>
    </row>
    <row r="13" spans="1:2" x14ac:dyDescent="0.3">
      <c r="A13" s="6" t="s">
        <v>58</v>
      </c>
      <c r="B13" s="6">
        <f>COUNTIF('Test Cases'!D2:D51,A13)</f>
        <v>6</v>
      </c>
    </row>
    <row r="14" spans="1:2" x14ac:dyDescent="0.3">
      <c r="A14" s="6" t="s">
        <v>108</v>
      </c>
      <c r="B14" s="6">
        <f>COUNTIF('Test Cases'!D2:D51,A14)</f>
        <v>3</v>
      </c>
    </row>
    <row r="16" spans="1:2" x14ac:dyDescent="0.3">
      <c r="A16" s="1" t="s">
        <v>201</v>
      </c>
    </row>
    <row r="17" spans="1:2" x14ac:dyDescent="0.3">
      <c r="A17" s="6" t="s">
        <v>27</v>
      </c>
      <c r="B17" s="6">
        <f>COUNTIF('Test Cases'!E2:E51,A17)</f>
        <v>29</v>
      </c>
    </row>
    <row r="18" spans="1:2" x14ac:dyDescent="0.3">
      <c r="A18" s="6" t="s">
        <v>47</v>
      </c>
      <c r="B18" s="6">
        <f>COUNTIF('Test Cases'!E2:E51,A18)</f>
        <v>16</v>
      </c>
    </row>
    <row r="19" spans="1:2" x14ac:dyDescent="0.3">
      <c r="A19" s="6" t="s">
        <v>97</v>
      </c>
      <c r="B19" s="6">
        <f>COUNTIF('Test Cases'!E2:E51,A19)</f>
        <v>5</v>
      </c>
    </row>
    <row r="21" spans="1:2" x14ac:dyDescent="0.3">
      <c r="A21" s="1" t="s">
        <v>202</v>
      </c>
    </row>
    <row r="22" spans="1:2" x14ac:dyDescent="0.3">
      <c r="A22" s="6" t="s">
        <v>24</v>
      </c>
      <c r="B22" s="6">
        <f>COUNTIF('Test Cases'!B2:B51,A22)</f>
        <v>6</v>
      </c>
    </row>
    <row r="23" spans="1:2" x14ac:dyDescent="0.3">
      <c r="A23" s="6" t="s">
        <v>63</v>
      </c>
      <c r="B23" s="6">
        <f>COUNTIF('Test Cases'!B2:B51,A23)</f>
        <v>9</v>
      </c>
    </row>
    <row r="24" spans="1:2" x14ac:dyDescent="0.3">
      <c r="A24" s="6" t="s">
        <v>113</v>
      </c>
      <c r="B24" s="6">
        <f>COUNTIF('Test Cases'!B2:B51,A24)</f>
        <v>2</v>
      </c>
    </row>
    <row r="25" spans="1:2" x14ac:dyDescent="0.3">
      <c r="A25" s="6" t="s">
        <v>126</v>
      </c>
      <c r="B25" s="6">
        <f>COUNTIF('Test Cases'!B2:B51,A25)</f>
        <v>1</v>
      </c>
    </row>
    <row r="26" spans="1:2" x14ac:dyDescent="0.3">
      <c r="A26" s="6" t="s">
        <v>133</v>
      </c>
      <c r="B26" s="6">
        <f>COUNTIF('Test Cases'!B2:B51,A26)</f>
        <v>0</v>
      </c>
    </row>
    <row r="27" spans="1:2" x14ac:dyDescent="0.3">
      <c r="A27" s="6" t="s">
        <v>144</v>
      </c>
      <c r="B27" s="6">
        <f>COUNTIF('Test Cases'!B2:B51,A27)</f>
        <v>0</v>
      </c>
    </row>
    <row r="28" spans="1:2" x14ac:dyDescent="0.3">
      <c r="A28" s="6" t="s">
        <v>159</v>
      </c>
      <c r="B28" s="6">
        <f>COUNTIF('Test Cases'!B2:B51,A28)</f>
        <v>0</v>
      </c>
    </row>
    <row r="29" spans="1:2" x14ac:dyDescent="0.3">
      <c r="A29" s="6" t="s">
        <v>164</v>
      </c>
      <c r="B29" s="6">
        <f>COUNTIF('Test Cases'!B2:B51,A29)</f>
        <v>0</v>
      </c>
    </row>
    <row r="30" spans="1:2" x14ac:dyDescent="0.3">
      <c r="A30" s="6" t="s">
        <v>169</v>
      </c>
      <c r="B30" s="6">
        <f>COUNTIF('Test Cases'!B2:B51,A30)</f>
        <v>0</v>
      </c>
    </row>
    <row r="31" spans="1:2" x14ac:dyDescent="0.3">
      <c r="A31" s="6" t="s">
        <v>176</v>
      </c>
      <c r="B31" s="6">
        <f>COUNTIF('Test Cases'!B2:B51,A31)</f>
        <v>0</v>
      </c>
    </row>
    <row r="32" spans="1:2" x14ac:dyDescent="0.3">
      <c r="A32" s="6" t="s">
        <v>180</v>
      </c>
      <c r="B32" s="6">
        <f>COUNTIF('Test Cases'!B2:B51,A32)</f>
        <v>0</v>
      </c>
    </row>
    <row r="33" spans="1:2" x14ac:dyDescent="0.3">
      <c r="A33" s="6" t="s">
        <v>108</v>
      </c>
      <c r="B33" s="6">
        <f>COUNTIF('Test Cases'!B2:B51,A33)</f>
        <v>0</v>
      </c>
    </row>
    <row r="34" spans="1:2" x14ac:dyDescent="0.3">
      <c r="A34" s="6" t="s">
        <v>184</v>
      </c>
      <c r="B34" s="6">
        <f>COUNTIF('Test Cases'!B2:B51,A34)</f>
        <v>0</v>
      </c>
    </row>
    <row r="35" spans="1:2" x14ac:dyDescent="0.3">
      <c r="A35" s="6" t="s">
        <v>189</v>
      </c>
      <c r="B35" s="6">
        <f>COUNTIF('Test Cases'!B2:B51,A35)</f>
        <v>0</v>
      </c>
    </row>
    <row r="36" spans="1:2" x14ac:dyDescent="0.3">
      <c r="A36" s="6" t="s">
        <v>191</v>
      </c>
      <c r="B36" s="6">
        <f>COUNTIF('Test Cases'!B2:B51,A36)</f>
        <v>0</v>
      </c>
    </row>
    <row r="37" spans="1:2" x14ac:dyDescent="0.3">
      <c r="A37" s="6" t="s">
        <v>193</v>
      </c>
      <c r="B37" s="6">
        <f>COUNTIF('Test Cases'!B2:B51,A37)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36" customWidth="1"/>
    <col min="4" max="4" width="40" customWidth="1"/>
    <col min="5" max="6" width="30" customWidth="1"/>
    <col min="7" max="9" width="12" customWidth="1"/>
    <col min="10" max="10" width="22" customWidth="1"/>
  </cols>
  <sheetData>
    <row r="1" spans="1:10" ht="27" x14ac:dyDescent="0.3">
      <c r="A1" s="8" t="s">
        <v>203</v>
      </c>
      <c r="B1" s="8" t="s">
        <v>204</v>
      </c>
      <c r="C1" s="8" t="s">
        <v>205</v>
      </c>
      <c r="D1" s="8" t="s">
        <v>206</v>
      </c>
      <c r="E1" s="8" t="s">
        <v>18</v>
      </c>
      <c r="F1" s="8" t="s">
        <v>19</v>
      </c>
      <c r="G1" s="8" t="s">
        <v>207</v>
      </c>
      <c r="H1" s="8" t="s">
        <v>14</v>
      </c>
      <c r="I1" s="8" t="s">
        <v>20</v>
      </c>
      <c r="J1" s="8" t="s">
        <v>208</v>
      </c>
    </row>
    <row r="2" spans="1:10" ht="52.8" x14ac:dyDescent="0.3">
      <c r="A2" s="9" t="s">
        <v>209</v>
      </c>
      <c r="B2" s="9" t="s">
        <v>141</v>
      </c>
      <c r="C2" s="9" t="s">
        <v>210</v>
      </c>
      <c r="D2" s="9" t="s">
        <v>211</v>
      </c>
      <c r="E2" s="9" t="s">
        <v>212</v>
      </c>
      <c r="F2" s="9" t="s">
        <v>213</v>
      </c>
      <c r="G2" s="9" t="s">
        <v>27</v>
      </c>
      <c r="H2" s="9" t="s">
        <v>27</v>
      </c>
      <c r="I2" s="9" t="s">
        <v>214</v>
      </c>
      <c r="J2" s="9" t="s">
        <v>215</v>
      </c>
    </row>
  </sheetData>
  <dataValidations count="2">
    <dataValidation type="list" sqref="G3:G200" xr:uid="{00000000-0002-0000-0300-000000000000}">
      <formula1>"Critical,High,Medium,Low"</formula1>
      <formula2>0</formula2>
    </dataValidation>
    <dataValidation type="list" sqref="I3:I200" xr:uid="{00000000-0002-0000-0300-000001000000}">
      <formula1>"Open,In Progress,Fixed,Retested,Closed"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Test Cases</vt:lpstr>
      <vt:lpstr>Summary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Amalraj Rajan</cp:lastModifiedBy>
  <cp:revision>0</cp:revision>
  <dcterms:created xsi:type="dcterms:W3CDTF">2026-10-13T15:11:02Z</dcterms:created>
  <dcterms:modified xsi:type="dcterms:W3CDTF">2026-10-13T22:29:30Z</dcterms:modified>
  <dc:language>en-US</dc:language>
</cp:coreProperties>
</file>